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User\Desktop\clients\excel\"/>
    </mc:Choice>
  </mc:AlternateContent>
  <xr:revisionPtr revIDLastSave="0" documentId="13_ncr:1_{71239DC4-8209-464B-B277-943526F5C731}" xr6:coauthVersionLast="47" xr6:coauthVersionMax="47" xr10:uidLastSave="{00000000-0000-0000-0000-000000000000}"/>
  <bookViews>
    <workbookView xWindow="-110" yWindow="-110" windowWidth="19420" windowHeight="11500" activeTab="3" xr2:uid="{00000000-000D-0000-FFFF-FFFF00000000}"/>
  </bookViews>
  <sheets>
    <sheet name="Master Data" sheetId="1" r:id="rId1"/>
    <sheet name="Input Data" sheetId="2" r:id="rId2"/>
    <sheet name="Analysis" sheetId="3" r:id="rId3"/>
    <sheet name="Dashboard" sheetId="10" r:id="rId4"/>
  </sheets>
  <definedNames>
    <definedName name="_xlchart.v1.0" hidden="1">Analysis!$AE$1</definedName>
    <definedName name="Category">OFFSET(Analysis!$AE$1,1,0,COUNT(Analysis!$AF:$AF))</definedName>
    <definedName name="CategoryRange">OFFSET(Analysis!$AE$1,1,1,COUNT(Analysis!$AF:$AF))</definedName>
    <definedName name="Slicer_Month">#N/A</definedName>
    <definedName name="Slicer_PAYMENT_MODE">#N/A</definedName>
    <definedName name="Slicer_SALE_TYP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 i="3" l="1"/>
  <c r="N5" i="3" s="1"/>
  <c r="M6" i="3"/>
  <c r="N6" i="3" s="1"/>
  <c r="M7" i="3"/>
  <c r="N7" i="3" s="1"/>
  <c r="M8" i="3"/>
  <c r="N8" i="3" s="1"/>
  <c r="M9" i="3"/>
  <c r="N9" i="3" s="1"/>
  <c r="M10" i="3"/>
  <c r="N10" i="3" s="1"/>
  <c r="M11" i="3"/>
  <c r="N11" i="3" s="1"/>
  <c r="M12" i="3"/>
  <c r="N12" i="3" s="1"/>
  <c r="M13" i="3"/>
  <c r="N13" i="3" s="1"/>
  <c r="M14" i="3"/>
  <c r="N14" i="3" s="1"/>
  <c r="M15" i="3"/>
  <c r="N15" i="3" s="1"/>
  <c r="L15" i="3"/>
  <c r="L5" i="3"/>
  <c r="L6" i="3"/>
  <c r="L7" i="3"/>
  <c r="L8" i="3"/>
  <c r="L9" i="3"/>
  <c r="L10" i="3"/>
  <c r="L11" i="3"/>
  <c r="L12" i="3"/>
  <c r="L13" i="3"/>
  <c r="L14" i="3"/>
  <c r="AJ2" i="3"/>
  <c r="AI2" i="3"/>
  <c r="AJ3" i="3"/>
  <c r="AJ4" i="3"/>
  <c r="AJ5" i="3"/>
  <c r="AH5" i="3" s="1"/>
  <c r="AI3" i="3"/>
  <c r="AI4" i="3"/>
  <c r="AI5" i="3"/>
  <c r="V2" i="3"/>
  <c r="Y18" i="3"/>
  <c r="Y19" i="3"/>
  <c r="Y20" i="3"/>
  <c r="Y21" i="3"/>
  <c r="Y22" i="3"/>
  <c r="Y23" i="3"/>
  <c r="Y24" i="3"/>
  <c r="Y25" i="3"/>
  <c r="Y26" i="3"/>
  <c r="Y27" i="3"/>
  <c r="Y28" i="3"/>
  <c r="Y29" i="3"/>
  <c r="Y30" i="3"/>
  <c r="Y31" i="3"/>
  <c r="Y32" i="3"/>
  <c r="Y33" i="3"/>
  <c r="Y34" i="3"/>
  <c r="Y35" i="3"/>
  <c r="Y36" i="3"/>
  <c r="Y37" i="3"/>
  <c r="Y3" i="3"/>
  <c r="Y4" i="3"/>
  <c r="Y5" i="3"/>
  <c r="Y6" i="3"/>
  <c r="Y7" i="3"/>
  <c r="Y8" i="3"/>
  <c r="Y9" i="3"/>
  <c r="Y10" i="3"/>
  <c r="Y11" i="3"/>
  <c r="Y12" i="3"/>
  <c r="Y13" i="3"/>
  <c r="Y14" i="3"/>
  <c r="Y15" i="3"/>
  <c r="Y16" i="3"/>
  <c r="Y17" i="3"/>
  <c r="Y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U37" i="3" s="1"/>
  <c r="X2" i="3"/>
  <c r="W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M4" i="3"/>
  <c r="N4" i="3" s="1"/>
  <c r="M3" i="3"/>
  <c r="N3" i="3" s="1"/>
  <c r="L4" i="3"/>
  <c r="L3" i="3"/>
  <c r="G62" i="2"/>
  <c r="H62" i="2"/>
  <c r="I62" i="2"/>
  <c r="J62" i="2"/>
  <c r="K62" i="2"/>
  <c r="L62" i="2"/>
  <c r="M62" i="2"/>
  <c r="N62" i="2"/>
  <c r="O62" i="2"/>
  <c r="P62"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E5" i="3"/>
  <c r="E4" i="3"/>
  <c r="AH4" i="3" l="1"/>
  <c r="AH3" i="3"/>
  <c r="AH2" i="3"/>
  <c r="AC2" i="3"/>
  <c r="AB11" i="3"/>
  <c r="AC8" i="3"/>
  <c r="AC9" i="3"/>
  <c r="AB8" i="3"/>
  <c r="AB6" i="3"/>
  <c r="AB7" i="3"/>
  <c r="AC7" i="3"/>
  <c r="AB2" i="3"/>
  <c r="AC3" i="3"/>
  <c r="AC11" i="3"/>
  <c r="AB10" i="3"/>
  <c r="AC10" i="3"/>
  <c r="AB9" i="3"/>
  <c r="AC6" i="3"/>
  <c r="AB5" i="3"/>
  <c r="AC5" i="3"/>
  <c r="AB4" i="3"/>
  <c r="AC4" i="3"/>
  <c r="AB3" i="3"/>
  <c r="AA2" i="3"/>
  <c r="AA5" i="3"/>
  <c r="AA6" i="3"/>
  <c r="AA9" i="3"/>
  <c r="AA11" i="3"/>
  <c r="AA10" i="3"/>
  <c r="AA4" i="3"/>
  <c r="AA3" i="3"/>
  <c r="AA8" i="3"/>
  <c r="AA7" i="3"/>
  <c r="U36" i="3"/>
  <c r="U29" i="3"/>
  <c r="U26" i="3"/>
  <c r="U4" i="3"/>
  <c r="U16" i="3"/>
  <c r="U35" i="3"/>
  <c r="U12" i="3"/>
  <c r="U11" i="3"/>
  <c r="U34" i="3"/>
  <c r="U22" i="3"/>
  <c r="U10" i="3"/>
  <c r="U33" i="3"/>
  <c r="U21" i="3"/>
  <c r="U9" i="3"/>
  <c r="U15" i="3"/>
  <c r="U24" i="3"/>
  <c r="U23" i="3"/>
  <c r="U32" i="3"/>
  <c r="U20" i="3"/>
  <c r="U8" i="3"/>
  <c r="U31" i="3"/>
  <c r="U19" i="3"/>
  <c r="U7" i="3"/>
  <c r="U30" i="3"/>
  <c r="U18" i="3"/>
  <c r="U6" i="3"/>
  <c r="U3" i="3"/>
  <c r="U17" i="3"/>
  <c r="U27" i="3"/>
  <c r="U5" i="3"/>
  <c r="U14" i="3"/>
  <c r="U13" i="3"/>
  <c r="U28" i="3"/>
  <c r="U25" i="3"/>
  <c r="U2" i="3"/>
  <c r="E6" i="3"/>
  <c r="AJ1" i="3" l="1"/>
  <c r="AI1" i="3"/>
  <c r="Y1" i="3"/>
  <c r="W1" i="3"/>
  <c r="X1" i="3"/>
  <c r="V1" i="3"/>
</calcChain>
</file>

<file path=xl/sharedStrings.xml><?xml version="1.0" encoding="utf-8"?>
<sst xmlns="http://schemas.openxmlformats.org/spreadsheetml/2006/main" count="515" uniqueCount="139">
  <si>
    <t>PRODUCT ID</t>
  </si>
  <si>
    <t>PRODUCT</t>
  </si>
  <si>
    <t>CATEGORY</t>
  </si>
  <si>
    <t>UOM</t>
  </si>
  <si>
    <t>BUYING PRICE</t>
  </si>
  <si>
    <t>SELLING PRICE</t>
  </si>
  <si>
    <t>P0001</t>
  </si>
  <si>
    <t>Product01</t>
  </si>
  <si>
    <t>Category01</t>
  </si>
  <si>
    <t>Kg</t>
  </si>
  <si>
    <t>P0002</t>
  </si>
  <si>
    <t>Product02</t>
  </si>
  <si>
    <t>Lt</t>
  </si>
  <si>
    <t>P0003</t>
  </si>
  <si>
    <t>Product03</t>
  </si>
  <si>
    <t>P0004</t>
  </si>
  <si>
    <t>Product04</t>
  </si>
  <si>
    <t>Dozon</t>
  </si>
  <si>
    <t>P0005</t>
  </si>
  <si>
    <t>Product05</t>
  </si>
  <si>
    <t>P0006</t>
  </si>
  <si>
    <t>Product06</t>
  </si>
  <si>
    <t>P0007</t>
  </si>
  <si>
    <t>Product07</t>
  </si>
  <si>
    <t>No.</t>
  </si>
  <si>
    <t>P0008</t>
  </si>
  <si>
    <t>Product08</t>
  </si>
  <si>
    <t>P0009</t>
  </si>
  <si>
    <t>Product09</t>
  </si>
  <si>
    <t>P0010</t>
  </si>
  <si>
    <t>Product10</t>
  </si>
  <si>
    <t>Category02</t>
  </si>
  <si>
    <t>P0011</t>
  </si>
  <si>
    <t>Product11</t>
  </si>
  <si>
    <t>P0012</t>
  </si>
  <si>
    <t>Product12</t>
  </si>
  <si>
    <t>P0013</t>
  </si>
  <si>
    <t>Product13</t>
  </si>
  <si>
    <t>P0014</t>
  </si>
  <si>
    <t>Product14</t>
  </si>
  <si>
    <t>P0015</t>
  </si>
  <si>
    <t>Product15</t>
  </si>
  <si>
    <t>P0016</t>
  </si>
  <si>
    <t>Product16</t>
  </si>
  <si>
    <t>P0017</t>
  </si>
  <si>
    <t>Product17</t>
  </si>
  <si>
    <t>P0018</t>
  </si>
  <si>
    <t>Product18</t>
  </si>
  <si>
    <t>P0019</t>
  </si>
  <si>
    <t>Product19</t>
  </si>
  <si>
    <t>Category03</t>
  </si>
  <si>
    <t>P0020</t>
  </si>
  <si>
    <t>Product20</t>
  </si>
  <si>
    <t>P0021</t>
  </si>
  <si>
    <t>Product21</t>
  </si>
  <si>
    <t>P0022</t>
  </si>
  <si>
    <t>Product22</t>
  </si>
  <si>
    <t>P0023</t>
  </si>
  <si>
    <t>Product23</t>
  </si>
  <si>
    <t>P0024</t>
  </si>
  <si>
    <t>Product24</t>
  </si>
  <si>
    <t>P0025</t>
  </si>
  <si>
    <t>Product25</t>
  </si>
  <si>
    <t>P0026</t>
  </si>
  <si>
    <t>Product26</t>
  </si>
  <si>
    <t>P0027</t>
  </si>
  <si>
    <t>Product27</t>
  </si>
  <si>
    <t>P0028</t>
  </si>
  <si>
    <t>Product28</t>
  </si>
  <si>
    <t>Category04</t>
  </si>
  <si>
    <t>P0029</t>
  </si>
  <si>
    <t>Product29</t>
  </si>
  <si>
    <t>P0030</t>
  </si>
  <si>
    <t>Product30</t>
  </si>
  <si>
    <t>P0031</t>
  </si>
  <si>
    <t>Product31</t>
  </si>
  <si>
    <t>P0032</t>
  </si>
  <si>
    <t>Product32</t>
  </si>
  <si>
    <t>P0033</t>
  </si>
  <si>
    <t>Product33</t>
  </si>
  <si>
    <t>P0034</t>
  </si>
  <si>
    <t>Product34</t>
  </si>
  <si>
    <t>P0035</t>
  </si>
  <si>
    <t>Product35</t>
  </si>
  <si>
    <t>P0036</t>
  </si>
  <si>
    <t>Product36</t>
  </si>
  <si>
    <t>P0037</t>
  </si>
  <si>
    <t>Product37</t>
  </si>
  <si>
    <t>P0038</t>
  </si>
  <si>
    <t>Product38</t>
  </si>
  <si>
    <t>P0039</t>
  </si>
  <si>
    <t>Product39</t>
  </si>
  <si>
    <t>P0040</t>
  </si>
  <si>
    <t>Product40</t>
  </si>
  <si>
    <t>P0041</t>
  </si>
  <si>
    <t>Product41</t>
  </si>
  <si>
    <t>P0042</t>
  </si>
  <si>
    <t>Product42</t>
  </si>
  <si>
    <t>P0043</t>
  </si>
  <si>
    <t>Product43</t>
  </si>
  <si>
    <t>P0044</t>
  </si>
  <si>
    <t>Product44</t>
  </si>
  <si>
    <t>P0045</t>
  </si>
  <si>
    <t>Product45</t>
  </si>
  <si>
    <t>DATE</t>
  </si>
  <si>
    <t>QUANTITY</t>
  </si>
  <si>
    <t>SALE TYPE</t>
  </si>
  <si>
    <t>PAYMENT MODE</t>
  </si>
  <si>
    <t>DISCOUNT %</t>
  </si>
  <si>
    <t>Direct Sales</t>
  </si>
  <si>
    <t>Cash</t>
  </si>
  <si>
    <t>Online</t>
  </si>
  <si>
    <t>Wholesaler</t>
  </si>
  <si>
    <t>Total Buying Value</t>
  </si>
  <si>
    <t>Total Selling Value</t>
  </si>
  <si>
    <t>DAY</t>
  </si>
  <si>
    <t>Month</t>
  </si>
  <si>
    <t>Year</t>
  </si>
  <si>
    <t>Row Labels</t>
  </si>
  <si>
    <t>Sum of Total Selling Value</t>
  </si>
  <si>
    <t>Sum of Total Buying Value</t>
  </si>
  <si>
    <t>Jan</t>
  </si>
  <si>
    <t>Feb</t>
  </si>
  <si>
    <t>Sum of QUANTITY</t>
  </si>
  <si>
    <t>Total Sales</t>
  </si>
  <si>
    <t>Total Profit</t>
  </si>
  <si>
    <t>Profit%</t>
  </si>
  <si>
    <t>Sales</t>
  </si>
  <si>
    <t>Profit</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</si>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</sst>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0.0%"/>
    <numFmt numFmtId="165" formatCode="[$$-409]#,##0.00"/>
    <numFmt numFmtId="166" formatCode="[$$-409]#,##0.00_);\([$$-409]#,##0.00\)"/>
    <numFmt numFmtId="167" formatCode="[$$-409]#,##0_);\([$$-409]#,##0\)"/>
    <numFmt numFmtId="168" formatCode="_([$$-409]* #,##0_);_([$$-409]* \(#,##0\);_([$$-409]* &quot;-&quot;??_);_(@_)"/>
    <numFmt numFmtId="169" formatCode="_(&quot;$&quot;* #,##0_);_(&quot;$&quot;* \(#,##0\);_(&quot;$&quot;* &quot;-&quot;??_);_(@_)"/>
  </numFmts>
  <fonts count="7" x14ac:knownFonts="1">
    <font>
      <sz val="11"/>
      <color theme="1"/>
      <name val="Calibri"/>
      <family val="2"/>
      <scheme val="minor"/>
    </font>
    <font>
      <b/>
      <sz val="11"/>
      <name val="Arial"/>
    </font>
    <font>
      <sz val="10"/>
      <name val="Arial"/>
    </font>
    <font>
      <sz val="8"/>
      <name val="Calibri"/>
      <family val="2"/>
      <scheme val="minor"/>
    </font>
    <font>
      <sz val="11"/>
      <color theme="1"/>
      <name val="Calibri"/>
      <family val="2"/>
      <scheme val="minor"/>
    </font>
    <font>
      <b/>
      <sz val="11"/>
      <color theme="1"/>
      <name val="Calibri"/>
      <family val="2"/>
      <scheme val="minor"/>
    </font>
    <font>
      <sz val="8"/>
      <color rgb="FF000000"/>
      <name val="Segoe UI"/>
      <family val="2"/>
    </font>
  </fonts>
  <fills count="5">
    <fill>
      <patternFill patternType="none"/>
    </fill>
    <fill>
      <patternFill patternType="gray125"/>
    </fill>
    <fill>
      <patternFill patternType="solid">
        <fgColor rgb="FFD9C6F2"/>
        <bgColor rgb="FFD9C6F2"/>
      </patternFill>
    </fill>
    <fill>
      <patternFill patternType="solid">
        <fgColor rgb="FFFBE4B4"/>
        <bgColor rgb="FFFBE4B4"/>
      </patternFill>
    </fill>
    <fill>
      <patternFill patternType="solid">
        <fgColor rgb="FFC6E0B4"/>
        <bgColor rgb="FFC6E0B4"/>
      </patternFill>
    </fill>
  </fills>
  <borders count="1">
    <border>
      <left/>
      <right/>
      <top/>
      <bottom/>
      <diagonal/>
    </border>
  </borders>
  <cellStyleXfs count="3">
    <xf numFmtId="0" fontId="0" fillId="0" borderId="0"/>
    <xf numFmtId="9" fontId="4" fillId="0" borderId="0" applyFont="0" applyFill="0" applyBorder="0" applyAlignment="0" applyProtection="0"/>
    <xf numFmtId="44" fontId="4" fillId="0" borderId="0" applyFont="0" applyFill="0" applyBorder="0" applyAlignment="0" applyProtection="0"/>
  </cellStyleXfs>
  <cellXfs count="17">
    <xf numFmtId="0" fontId="0" fillId="0" borderId="0" xfId="0"/>
    <xf numFmtId="0" fontId="1" fillId="2" borderId="0" xfId="0" applyFont="1" applyFill="1"/>
    <xf numFmtId="0" fontId="2" fillId="0" borderId="0" xfId="0" applyFont="1"/>
    <xf numFmtId="0" fontId="2" fillId="4" borderId="0" xfId="0" applyFont="1" applyFill="1"/>
    <xf numFmtId="164" fontId="2" fillId="4" borderId="0" xfId="0" applyNumberFormat="1" applyFont="1" applyFill="1"/>
    <xf numFmtId="0" fontId="0" fillId="0" borderId="0" xfId="0" applyNumberFormat="1"/>
    <xf numFmtId="14" fontId="2" fillId="3" borderId="0" xfId="0" applyNumberFormat="1" applyFont="1" applyFill="1"/>
    <xf numFmtId="165" fontId="1" fillId="2" borderId="0" xfId="0" applyNumberFormat="1" applyFont="1" applyFill="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9" fontId="0" fillId="0" borderId="0" xfId="1" applyFont="1"/>
    <xf numFmtId="167" fontId="0" fillId="0" borderId="0" xfId="0" applyNumberFormat="1"/>
    <xf numFmtId="0" fontId="5" fillId="0" borderId="0" xfId="0" applyNumberFormat="1" applyFont="1"/>
    <xf numFmtId="168" fontId="0" fillId="0" borderId="0" xfId="0" applyNumberFormat="1"/>
    <xf numFmtId="169" fontId="0" fillId="0" borderId="0" xfId="2" applyNumberFormat="1" applyFont="1"/>
  </cellXfs>
  <cellStyles count="3">
    <cellStyle name="Currency" xfId="2" builtinId="4"/>
    <cellStyle name="Normal" xfId="0" builtinId="0"/>
    <cellStyle name="Percent" xfId="1" builtinId="5"/>
  </cellStyles>
  <dxfs count="15">
    <dxf>
      <numFmt numFmtId="166" formatCode="[$$-409]#,##0.00_);\([$$-409]#,##0.00\)"/>
    </dxf>
    <dxf>
      <numFmt numFmtId="0" formatCode="General"/>
    </dxf>
    <dxf>
      <numFmt numFmtId="0" formatCode="General"/>
    </dxf>
    <dxf>
      <numFmt numFmtId="0" formatCode="General"/>
    </dxf>
    <dxf>
      <numFmt numFmtId="165" formatCode="[$$-409]#,##0.00"/>
    </dxf>
    <dxf>
      <numFmt numFmtId="165" formatCode="[$$-409]#,##0.00"/>
    </dxf>
    <dxf>
      <numFmt numFmtId="165" formatCode="[$$-409]#,##0.00"/>
    </dxf>
    <dxf>
      <numFmt numFmtId="165" formatCode="[$$-409]#,##0.00"/>
    </dxf>
    <dxf>
      <numFmt numFmtId="0" formatCode="General"/>
    </dxf>
    <dxf>
      <numFmt numFmtId="0" formatCode="General"/>
    </dxf>
    <dxf>
      <numFmt numFmtId="0" formatCode="General"/>
    </dxf>
    <dxf>
      <font>
        <b/>
        <i val="0"/>
        <sz val="10"/>
        <color theme="0"/>
        <name val="Calibri"/>
        <family val="2"/>
        <scheme val="minor"/>
      </font>
      <fill>
        <patternFill>
          <bgColor theme="9"/>
        </patternFill>
      </fill>
      <border diagonalUp="0" diagonalDown="0">
        <left/>
        <right/>
        <top/>
        <bottom/>
        <vertical/>
        <horizontal/>
      </border>
    </dxf>
    <dxf>
      <font>
        <sz val="9"/>
        <color theme="0"/>
        <name val="Calibri"/>
        <family val="2"/>
        <scheme val="minor"/>
      </font>
      <fill>
        <patternFill>
          <bgColor theme="9"/>
        </patternFill>
      </fill>
      <border diagonalUp="0" diagonalDown="0">
        <left/>
        <right/>
        <top/>
        <bottom/>
        <vertical/>
        <horizontal/>
      </border>
    </dxf>
    <dxf>
      <font>
        <b/>
        <i val="0"/>
        <sz val="10"/>
        <color theme="0"/>
        <name val="Calibri"/>
        <family val="2"/>
        <scheme val="minor"/>
      </font>
      <fill>
        <patternFill>
          <bgColor theme="9"/>
        </patternFill>
      </fill>
      <border diagonalUp="0" diagonalDown="0">
        <left/>
        <right/>
        <top/>
        <bottom/>
        <vertical/>
        <horizontal/>
      </border>
    </dxf>
    <dxf>
      <font>
        <sz val="9"/>
        <color theme="0"/>
        <name val="Calibri"/>
        <family val="2"/>
        <scheme val="minor"/>
      </font>
      <fill>
        <patternFill>
          <bgColor theme="9"/>
        </patternFill>
      </fill>
      <border diagonalUp="0" diagonalDown="0">
        <left/>
        <right/>
        <top/>
        <bottom/>
        <vertical/>
        <horizontal/>
      </border>
    </dxf>
  </dxfs>
  <tableStyles count="2" defaultTableStyle="TableStyleMedium9" defaultPivotStyle="PivotStyleLight16">
    <tableStyle name="Slicer " pivot="0" table="0" count="2" xr9:uid="{F8EAE5AE-F7A9-44D3-9C3D-BE7CE889D558}">
      <tableStyleElement type="wholeTable" dxfId="14"/>
      <tableStyleElement type="headerRow" dxfId="13"/>
    </tableStyle>
    <tableStyle name="SlicerStyleLight1 2" pivot="0" table="0" count="10" xr9:uid="{31D511A6-9D61-4821-AD69-D9021D95084D}">
      <tableStyleElement type="wholeTable" dxfId="12"/>
      <tableStyleElement type="headerRow" dxfId="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[Sales_Input_Data_60rows.xlsx]Analysis!Daily</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59298496778806E-2"/>
          <c:y val="5.7544301440075142E-2"/>
          <c:w val="0.8444829101930359"/>
          <c:h val="0.7546696841983096"/>
        </c:manualLayout>
      </c:layout>
      <c:areaChart>
        <c:grouping val="standard"/>
        <c:varyColors val="0"/>
        <c:ser>
          <c:idx val="0"/>
          <c:order val="0"/>
          <c:tx>
            <c:strRef>
              <c:f>Analysis!$B$3</c:f>
              <c:strCache>
                <c:ptCount val="1"/>
                <c:pt idx="0">
                  <c:v>Total</c:v>
                </c:pt>
              </c:strCache>
            </c:strRef>
          </c:tx>
          <c:spPr>
            <a:solidFill>
              <a:schemeClr val="accent1"/>
            </a:solidFill>
            <a:ln>
              <a:noFill/>
            </a:ln>
            <a:effectLst/>
          </c:spPr>
          <c:cat>
            <c:strRef>
              <c:f>Analysis!$A$4:$A$33</c:f>
              <c:strCache>
                <c:ptCount val="30"/>
                <c:pt idx="0">
                  <c:v>2</c:v>
                </c:pt>
                <c:pt idx="1">
                  <c:v>4</c:v>
                </c:pt>
                <c:pt idx="2">
                  <c:v>5</c:v>
                </c:pt>
                <c:pt idx="3">
                  <c:v>6</c:v>
                </c:pt>
                <c:pt idx="4">
                  <c:v>7</c:v>
                </c:pt>
                <c:pt idx="5">
                  <c:v>9</c:v>
                </c:pt>
                <c:pt idx="6">
                  <c:v>10</c:v>
                </c:pt>
                <c:pt idx="7">
                  <c:v>11</c:v>
                </c:pt>
                <c:pt idx="8">
                  <c:v>12</c:v>
                </c:pt>
                <c:pt idx="9">
                  <c:v>14</c:v>
                </c:pt>
                <c:pt idx="10">
                  <c:v>15</c:v>
                </c:pt>
                <c:pt idx="11">
                  <c:v>16</c:v>
                </c:pt>
                <c:pt idx="12">
                  <c:v>17</c:v>
                </c:pt>
                <c:pt idx="13">
                  <c:v>18</c:v>
                </c:pt>
                <c:pt idx="14">
                  <c:v>20</c:v>
                </c:pt>
                <c:pt idx="15">
                  <c:v>21</c:v>
                </c:pt>
                <c:pt idx="16">
                  <c:v>24</c:v>
                </c:pt>
                <c:pt idx="17">
                  <c:v>26</c:v>
                </c:pt>
                <c:pt idx="18">
                  <c:v>27</c:v>
                </c:pt>
                <c:pt idx="19">
                  <c:v>28</c:v>
                </c:pt>
                <c:pt idx="20">
                  <c:v>29</c:v>
                </c:pt>
                <c:pt idx="21">
                  <c:v>30</c:v>
                </c:pt>
                <c:pt idx="22">
                  <c:v>8</c:v>
                </c:pt>
                <c:pt idx="23">
                  <c:v>3</c:v>
                </c:pt>
                <c:pt idx="24">
                  <c:v>22</c:v>
                </c:pt>
                <c:pt idx="25">
                  <c:v>19</c:v>
                </c:pt>
                <c:pt idx="26">
                  <c:v>25</c:v>
                </c:pt>
                <c:pt idx="27">
                  <c:v>13</c:v>
                </c:pt>
                <c:pt idx="28">
                  <c:v>31</c:v>
                </c:pt>
                <c:pt idx="29">
                  <c:v>0</c:v>
                </c:pt>
              </c:strCache>
            </c:strRef>
          </c:cat>
          <c:val>
            <c:numRef>
              <c:f>Analysis!$B$4:$B$33</c:f>
              <c:numCache>
                <c:formatCode>[$$-409]#,##0.00_);\([$$-409]#,##0.00\)</c:formatCode>
                <c:ptCount val="30"/>
                <c:pt idx="0">
                  <c:v>1573.675</c:v>
                </c:pt>
                <c:pt idx="1">
                  <c:v>138.0625</c:v>
                </c:pt>
                <c:pt idx="2">
                  <c:v>133.68</c:v>
                </c:pt>
                <c:pt idx="3">
                  <c:v>509.96000000000004</c:v>
                </c:pt>
                <c:pt idx="4">
                  <c:v>1184.51</c:v>
                </c:pt>
                <c:pt idx="5">
                  <c:v>1497.3029999999999</c:v>
                </c:pt>
                <c:pt idx="6">
                  <c:v>2905.4100000000003</c:v>
                </c:pt>
                <c:pt idx="7">
                  <c:v>1502.08</c:v>
                </c:pt>
                <c:pt idx="8">
                  <c:v>3379.92</c:v>
                </c:pt>
                <c:pt idx="9">
                  <c:v>451.53699999999998</c:v>
                </c:pt>
                <c:pt idx="10">
                  <c:v>1784.19</c:v>
                </c:pt>
                <c:pt idx="11">
                  <c:v>1111.827</c:v>
                </c:pt>
                <c:pt idx="12">
                  <c:v>393.15300000000002</c:v>
                </c:pt>
                <c:pt idx="13">
                  <c:v>1639.6200000000001</c:v>
                </c:pt>
                <c:pt idx="14">
                  <c:v>1196.2939999999999</c:v>
                </c:pt>
                <c:pt idx="15">
                  <c:v>1589.8909999999998</c:v>
                </c:pt>
                <c:pt idx="16">
                  <c:v>2142.7020000000002</c:v>
                </c:pt>
                <c:pt idx="17">
                  <c:v>2812.6400000000003</c:v>
                </c:pt>
                <c:pt idx="18">
                  <c:v>3100.78</c:v>
                </c:pt>
                <c:pt idx="19">
                  <c:v>555.19299999999998</c:v>
                </c:pt>
                <c:pt idx="20">
                  <c:v>650.25</c:v>
                </c:pt>
                <c:pt idx="21">
                  <c:v>980.505</c:v>
                </c:pt>
                <c:pt idx="22">
                  <c:v>518.38799999999992</c:v>
                </c:pt>
                <c:pt idx="23">
                  <c:v>1984.6149999999998</c:v>
                </c:pt>
                <c:pt idx="24">
                  <c:v>746.97399999999993</c:v>
                </c:pt>
                <c:pt idx="25">
                  <c:v>782.41250000000002</c:v>
                </c:pt>
                <c:pt idx="26">
                  <c:v>2907.8</c:v>
                </c:pt>
                <c:pt idx="27">
                  <c:v>930.30649999999991</c:v>
                </c:pt>
                <c:pt idx="28">
                  <c:v>27.58</c:v>
                </c:pt>
                <c:pt idx="29">
                  <c:v>1020.76</c:v>
                </c:pt>
              </c:numCache>
            </c:numRef>
          </c:val>
          <c:extLst>
            <c:ext xmlns:c16="http://schemas.microsoft.com/office/drawing/2014/chart" uri="{C3380CC4-5D6E-409C-BE32-E72D297353CC}">
              <c16:uniqueId val="{00000000-D2C3-47C0-9A52-0F855C8E8DD3}"/>
            </c:ext>
          </c:extLst>
        </c:ser>
        <c:dLbls>
          <c:showLegendKey val="0"/>
          <c:showVal val="0"/>
          <c:showCatName val="0"/>
          <c:showSerName val="0"/>
          <c:showPercent val="0"/>
          <c:showBubbleSize val="0"/>
        </c:dLbls>
        <c:axId val="2140247280"/>
        <c:axId val="2140238128"/>
      </c:areaChart>
      <c:catAx>
        <c:axId val="2140247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140238128"/>
        <c:crosses val="autoZero"/>
        <c:auto val="1"/>
        <c:lblAlgn val="ctr"/>
        <c:lblOffset val="100"/>
        <c:noMultiLvlLbl val="0"/>
      </c:catAx>
      <c:valAx>
        <c:axId val="2140238128"/>
        <c:scaling>
          <c:orientation val="minMax"/>
        </c:scaling>
        <c:delete val="0"/>
        <c:axPos val="l"/>
        <c:numFmt formatCode="[$$-409]#,##0.00_);\([$$-409]#,##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140247280"/>
        <c:crosses val="autoZero"/>
        <c:crossBetween val="midCat"/>
      </c:valAx>
      <c:spPr>
        <a:gradFill flip="none" rotWithShape="1">
          <a:gsLst>
            <a:gs pos="0">
              <a:schemeClr val="accent1">
                <a:lumMod val="5000"/>
                <a:lumOff val="95000"/>
              </a:schemeClr>
            </a:gs>
            <a:gs pos="87000">
              <a:schemeClr val="accent1">
                <a:lumMod val="75000"/>
              </a:schemeClr>
            </a:gs>
          </a:gsLst>
          <a:lin ang="16200000" scaled="1"/>
          <a:tileRect/>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464111247149"/>
          <c:y val="8.4625658482993443E-2"/>
          <c:w val="0.80653210517048646"/>
          <c:h val="0.8191218172194058"/>
        </c:manualLayout>
      </c:layout>
      <c:barChart>
        <c:barDir val="col"/>
        <c:grouping val="clustered"/>
        <c:varyColors val="0"/>
        <c:ser>
          <c:idx val="0"/>
          <c:order val="0"/>
          <c:tx>
            <c:strRef>
              <c:f>Analysis!$K$3</c:f>
              <c:strCache>
                <c:ptCount val="1"/>
                <c:pt idx="0">
                  <c:v>Jan</c:v>
                </c:pt>
              </c:strCache>
            </c:strRef>
          </c:tx>
          <c:spPr>
            <a:solidFill>
              <a:schemeClr val="accent1"/>
            </a:solidFill>
            <a:ln>
              <a:noFill/>
            </a:ln>
            <a:effectLst/>
          </c:spPr>
          <c:invertIfNegative val="0"/>
          <c:cat>
            <c:strRef>
              <c:f>Analysis!$L$2:$M$2</c:f>
              <c:strCache>
                <c:ptCount val="2"/>
                <c:pt idx="0">
                  <c:v>Sales</c:v>
                </c:pt>
                <c:pt idx="1">
                  <c:v>Profit</c:v>
                </c:pt>
              </c:strCache>
            </c:strRef>
          </c:cat>
          <c:val>
            <c:numRef>
              <c:f>Analysis!$L$3:$M$3</c:f>
              <c:numCache>
                <c:formatCode>_([$$-409]* #,##0_);_([$$-409]* \(#,##0\);_([$$-409]* "-"??_);_(@_)</c:formatCode>
                <c:ptCount val="2"/>
                <c:pt idx="0">
                  <c:v>5723.7280000000001</c:v>
                </c:pt>
                <c:pt idx="1">
                  <c:v>584.72800000000007</c:v>
                </c:pt>
              </c:numCache>
            </c:numRef>
          </c:val>
          <c:extLst>
            <c:ext xmlns:c16="http://schemas.microsoft.com/office/drawing/2014/chart" uri="{C3380CC4-5D6E-409C-BE32-E72D297353CC}">
              <c16:uniqueId val="{00000000-4243-4926-9F20-7F75C9BAA5FB}"/>
            </c:ext>
          </c:extLst>
        </c:ser>
        <c:ser>
          <c:idx val="1"/>
          <c:order val="1"/>
          <c:tx>
            <c:strRef>
              <c:f>Analysis!$K$4</c:f>
              <c:strCache>
                <c:ptCount val="1"/>
                <c:pt idx="0">
                  <c:v>Feb</c:v>
                </c:pt>
              </c:strCache>
            </c:strRef>
          </c:tx>
          <c:spPr>
            <a:gradFill>
              <a:gsLst>
                <a:gs pos="0">
                  <a:schemeClr val="accent1">
                    <a:lumMod val="5000"/>
                    <a:lumOff val="95000"/>
                  </a:schemeClr>
                </a:gs>
                <a:gs pos="87000">
                  <a:schemeClr val="accent1">
                    <a:lumMod val="75000"/>
                  </a:schemeClr>
                </a:gs>
              </a:gsLst>
              <a:lin ang="5400000" scaled="1"/>
            </a:gradFill>
            <a:ln>
              <a:noFill/>
            </a:ln>
            <a:effectLst/>
          </c:spPr>
          <c:invertIfNegative val="0"/>
          <c:dLbls>
            <c:dLbl>
              <c:idx val="0"/>
              <c:tx>
                <c:rich>
                  <a:bodyPr/>
                  <a:lstStyle/>
                  <a:p>
                    <a:fld id="{EFF4A8D4-4097-4D5D-AA27-0544FAA7E1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243-4926-9F20-7F75C9BAA5FB}"/>
                </c:ext>
              </c:extLst>
            </c:dLbl>
            <c:dLbl>
              <c:idx val="1"/>
              <c:tx>
                <c:rich>
                  <a:bodyPr/>
                  <a:lstStyle/>
                  <a:p>
                    <a:fld id="{08562353-D817-46CB-B947-22C53555D4E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243-4926-9F20-7F75C9BAA5FB}"/>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Analysis!$L$2:$M$2</c:f>
              <c:strCache>
                <c:ptCount val="2"/>
                <c:pt idx="0">
                  <c:v>Sales</c:v>
                </c:pt>
                <c:pt idx="1">
                  <c:v>Profit</c:v>
                </c:pt>
              </c:strCache>
            </c:strRef>
          </c:cat>
          <c:val>
            <c:numRef>
              <c:f>Analysis!$L$4:$M$4</c:f>
              <c:numCache>
                <c:formatCode>_([$$-409]* #,##0_);_([$$-409]* \(#,##0\);_([$$-409]* "-"??_);_(@_)</c:formatCode>
                <c:ptCount val="2"/>
                <c:pt idx="0">
                  <c:v>2734.4449999999997</c:v>
                </c:pt>
                <c:pt idx="1">
                  <c:v>607.44499999999971</c:v>
                </c:pt>
              </c:numCache>
            </c:numRef>
          </c:val>
          <c:extLst>
            <c:ext xmlns:c15="http://schemas.microsoft.com/office/drawing/2012/chart" uri="{02D57815-91ED-43cb-92C2-25804820EDAC}">
              <c15:datalabelsRange>
                <c15:f>Analysis!$N$3:$N$4</c15:f>
                <c15:dlblRangeCache>
                  <c:ptCount val="2"/>
                  <c:pt idx="0">
                    <c:v>10%</c:v>
                  </c:pt>
                  <c:pt idx="1">
                    <c:v>22%</c:v>
                  </c:pt>
                </c15:dlblRangeCache>
              </c15:datalabelsRange>
            </c:ext>
            <c:ext xmlns:c16="http://schemas.microsoft.com/office/drawing/2014/chart" uri="{C3380CC4-5D6E-409C-BE32-E72D297353CC}">
              <c16:uniqueId val="{00000003-4243-4926-9F20-7F75C9BAA5FB}"/>
            </c:ext>
          </c:extLst>
        </c:ser>
        <c:dLbls>
          <c:showLegendKey val="0"/>
          <c:showVal val="0"/>
          <c:showCatName val="0"/>
          <c:showSerName val="0"/>
          <c:showPercent val="0"/>
          <c:showBubbleSize val="0"/>
        </c:dLbls>
        <c:gapWidth val="340"/>
        <c:overlap val="100"/>
        <c:axId val="1850137392"/>
        <c:axId val="1850129904"/>
      </c:barChart>
      <c:catAx>
        <c:axId val="18501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50129904"/>
        <c:crosses val="autoZero"/>
        <c:auto val="1"/>
        <c:lblAlgn val="ctr"/>
        <c:lblOffset val="100"/>
        <c:noMultiLvlLbl val="0"/>
      </c:catAx>
      <c:valAx>
        <c:axId val="1850129904"/>
        <c:scaling>
          <c:orientation val="minMax"/>
        </c:scaling>
        <c:delete val="0"/>
        <c:axPos val="l"/>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850137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flip="none" rotWithShape="1">
              <a:gsLst>
                <a:gs pos="0">
                  <a:schemeClr val="accent1">
                    <a:lumMod val="5000"/>
                    <a:lumOff val="95000"/>
                  </a:schemeClr>
                </a:gs>
                <a:gs pos="87000">
                  <a:schemeClr val="accent1">
                    <a:lumMod val="75000"/>
                  </a:schemeClr>
                </a:gs>
              </a:gsLst>
              <a:lin ang="0" scaled="1"/>
              <a:tileRect/>
            </a:gradFill>
            <a:ln>
              <a:noFill/>
            </a:ln>
            <a:effectLst/>
          </c:spPr>
          <c:invertIfNegative val="0"/>
          <c:val>
            <c:numRef>
              <c:f>Analysis!$AC$2:$AC$11</c:f>
              <c:numCache>
                <c:formatCode>General</c:formatCode>
                <c:ptCount val="10"/>
                <c:pt idx="0">
                  <c:v>115.2</c:v>
                </c:pt>
                <c:pt idx="1">
                  <c:v>613.16999999999996</c:v>
                </c:pt>
                <c:pt idx="2">
                  <c:v>2738.2080000000005</c:v>
                </c:pt>
                <c:pt idx="3">
                  <c:v>246.84100000000001</c:v>
                </c:pt>
                <c:pt idx="4">
                  <c:v>1833.442</c:v>
                </c:pt>
                <c:pt idx="5">
                  <c:v>1702.3440000000001</c:v>
                </c:pt>
                <c:pt idx="6">
                  <c:v>608.71249999999998</c:v>
                </c:pt>
                <c:pt idx="7">
                  <c:v>436.28000000000003</c:v>
                </c:pt>
                <c:pt idx="8">
                  <c:v>1343.1599999999999</c:v>
                </c:pt>
                <c:pt idx="9">
                  <c:v>1397.7</c:v>
                </c:pt>
              </c:numCache>
            </c:numRef>
          </c:val>
          <c:extLst>
            <c:ext xmlns:c16="http://schemas.microsoft.com/office/drawing/2014/chart" uri="{C3380CC4-5D6E-409C-BE32-E72D297353CC}">
              <c16:uniqueId val="{00000000-4380-407A-AD8B-633A7BD0046C}"/>
            </c:ext>
          </c:extLst>
        </c:ser>
        <c:dLbls>
          <c:showLegendKey val="0"/>
          <c:showVal val="0"/>
          <c:showCatName val="0"/>
          <c:showSerName val="0"/>
          <c:showPercent val="0"/>
          <c:showBubbleSize val="0"/>
        </c:dLbls>
        <c:gapWidth val="50"/>
        <c:axId val="408365935"/>
        <c:axId val="408364687"/>
      </c:barChart>
      <c:catAx>
        <c:axId val="4083659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408364687"/>
        <c:crosses val="autoZero"/>
        <c:auto val="1"/>
        <c:lblAlgn val="ctr"/>
        <c:lblOffset val="100"/>
        <c:noMultiLvlLbl val="0"/>
      </c:catAx>
      <c:valAx>
        <c:axId val="408364687"/>
        <c:scaling>
          <c:orientation val="minMax"/>
        </c:scaling>
        <c:delete val="1"/>
        <c:axPos val="b"/>
        <c:numFmt formatCode="General" sourceLinked="1"/>
        <c:majorTickMark val="none"/>
        <c:minorTickMark val="none"/>
        <c:tickLblPos val="nextTo"/>
        <c:crossAx val="40836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[Sales_Input_Data_60rows.xlsx]Analysis!SaleType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352687175909515"/>
              <c:y val="9.413216565546649E-2"/>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7434059419164484E-2"/>
              <c:y val="-0.16003310388895567"/>
            </c:manualLayout>
          </c:layout>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s>
    <c:plotArea>
      <c:layout>
        <c:manualLayout>
          <c:layoutTarget val="inner"/>
          <c:xMode val="edge"/>
          <c:yMode val="edge"/>
          <c:x val="0.16385094962186006"/>
          <c:y val="0.10989798189044647"/>
          <c:w val="0.64992548185756294"/>
          <c:h val="0.64263222138369602"/>
        </c:manualLayout>
      </c:layout>
      <c:pieChart>
        <c:varyColors val="1"/>
        <c:ser>
          <c:idx val="0"/>
          <c:order val="0"/>
          <c:tx>
            <c:strRef>
              <c:f>Analysis!$AM$1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EA-4FF2-8E6E-BEECEB9835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EA-4FF2-8E6E-BEECEB9835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EA-4FF2-8E6E-BEECEB98358A}"/>
              </c:ext>
            </c:extLst>
          </c:dPt>
          <c:dLbls>
            <c:dLbl>
              <c:idx val="0"/>
              <c:layout>
                <c:manualLayout>
                  <c:x val="-0.20352687175909515"/>
                  <c:y val="9.41321656554664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8EA-4FF2-8E6E-BEECEB98358A}"/>
                </c:ext>
              </c:extLst>
            </c:dLbl>
            <c:dLbl>
              <c:idx val="1"/>
              <c:layout>
                <c:manualLayout>
                  <c:x val="-9.7434059419164484E-2"/>
                  <c:y val="-0.16003310388895567"/>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EA-4FF2-8E6E-BEECEB98358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Analysis!$AL$2:$AL$4</c:f>
              <c:strCache>
                <c:ptCount val="3"/>
                <c:pt idx="0">
                  <c:v>Direct Sales</c:v>
                </c:pt>
                <c:pt idx="1">
                  <c:v>Online</c:v>
                </c:pt>
                <c:pt idx="2">
                  <c:v>Wholesaler</c:v>
                </c:pt>
              </c:strCache>
            </c:strRef>
          </c:cat>
          <c:val>
            <c:numRef>
              <c:f>Analysis!$AM$2:$AM$4</c:f>
              <c:numCache>
                <c:formatCode>General</c:formatCode>
                <c:ptCount val="3"/>
                <c:pt idx="0">
                  <c:v>12572.136999999999</c:v>
                </c:pt>
                <c:pt idx="1">
                  <c:v>11751.585499999999</c:v>
                </c:pt>
                <c:pt idx="2">
                  <c:v>15828.296</c:v>
                </c:pt>
              </c:numCache>
            </c:numRef>
          </c:val>
          <c:extLst>
            <c:ext xmlns:c16="http://schemas.microsoft.com/office/drawing/2014/chart" uri="{C3380CC4-5D6E-409C-BE32-E72D297353CC}">
              <c16:uniqueId val="{00000006-A8EA-4FF2-8E6E-BEECEB9835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[Sales_Input_Data_60rows.xlsx]Analysis!PaymentMode</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Analysis!$AP$1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FB-48E7-AAF0-DB6F75599F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FB-48E7-AAF0-DB6F75599FE7}"/>
              </c:ext>
            </c:extLst>
          </c:dPt>
          <c:dLbls>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Analysis!$AO$2:$AO$3</c:f>
              <c:strCache>
                <c:ptCount val="2"/>
                <c:pt idx="0">
                  <c:v>Cash</c:v>
                </c:pt>
                <c:pt idx="1">
                  <c:v>Online</c:v>
                </c:pt>
              </c:strCache>
            </c:strRef>
          </c:cat>
          <c:val>
            <c:numRef>
              <c:f>Analysis!$AP$2:$AP$3</c:f>
              <c:numCache>
                <c:formatCode>General</c:formatCode>
                <c:ptCount val="2"/>
                <c:pt idx="0">
                  <c:v>27417.417000000005</c:v>
                </c:pt>
                <c:pt idx="1">
                  <c:v>12734.601499999999</c:v>
                </c:pt>
              </c:numCache>
            </c:numRef>
          </c:val>
          <c:extLst>
            <c:ext xmlns:c16="http://schemas.microsoft.com/office/drawing/2014/chart" uri="{C3380CC4-5D6E-409C-BE32-E72D297353CC}">
              <c16:uniqueId val="{00000004-86FB-48E7-AAF0-DB6F75599F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2700000" algn="tl" rotWithShape="0">
        <a:prstClr val="black">
          <a:alpha val="40000"/>
        </a:prstClr>
      </a:outerShdw>
    </a:effectLst>
  </c:spPr>
  <c:txPr>
    <a:bodyPr/>
    <a:lstStyle/>
    <a:p>
      <a:pPr>
        <a:defRPr sz="11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[0]!Category</cx:f>
      </cx:strDim>
      <cx:numDim type="size">
        <cx:f>[0]!CategoryRange</cx:f>
      </cx:numDim>
    </cx:data>
  </cx:chartData>
  <cx:chart>
    <cx:plotArea>
      <cx:plotAreaRegion>
        <cx:series layoutId="treemap" uniqueId="{E9CC923D-0E77-45FA-8A94-A47F97E11F58}">
          <cx:tx>
            <cx:txData>
              <cx:f>_xlchart.v1.0</cx:f>
              <cx:v>Row Labels</cx:v>
            </cx:txData>
          </cx:tx>
          <cx:dataLabels pos="inEnd">
            <cx:txPr>
              <a:bodyPr vertOverflow="overflow" horzOverflow="overflow" wrap="square" lIns="0" tIns="0" rIns="0" bIns="0"/>
              <a:lstStyle/>
              <a:p>
                <a:pPr algn="ctr" rtl="0">
                  <a:defRPr sz="900" b="1" i="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b="1"/>
              </a:p>
            </cx:txPr>
            <cx:visibility seriesName="0" categoryName="1" value="1"/>
            <cx:separator>
</cx:separator>
          </cx:dataLabels>
          <cx:dataId val="0"/>
          <cx:layoutPr>
            <cx:parentLabelLayout val="overlapping"/>
          </cx:layoutPr>
        </cx:series>
      </cx:plotAreaRegion>
    </cx:plotArea>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nalysis!$M$1" lockText="1" noThreeD="1"/>
</file>

<file path=xl/ctrlProps/ctrlProp2.xml><?xml version="1.0" encoding="utf-8"?>
<formControlPr xmlns="http://schemas.microsoft.com/office/spreadsheetml/2009/9/main" objectType="CheckBox" checked="Checked" fmlaLink="Analysis!$N$1" lockText="1" noThreeD="1"/>
</file>

<file path=xl/ctrlProps/ctrlProp3.xml><?xml version="1.0" encoding="utf-8"?>
<formControlPr xmlns="http://schemas.microsoft.com/office/spreadsheetml/2009/9/main" objectType="CheckBox" checked="Checked" fmlaLink="Analysis!$L$1" lockText="1" noThreeD="1"/>
</file>

<file path=xl/ctrlProps/ctrlProp4.xml><?xml version="1.0" encoding="utf-8"?>
<formControlPr xmlns="http://schemas.microsoft.com/office/spreadsheetml/2009/9/main" objectType="Scroll" dx="31" fmlaLink="$AA$1" max="100" min="1" page="10"/>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image" Target="../media/image7.png"/><Relationship Id="rId3" Type="http://schemas.openxmlformats.org/officeDocument/2006/relationships/chart" Target="../charts/chart1.xml"/><Relationship Id="rId7" Type="http://schemas.openxmlformats.org/officeDocument/2006/relationships/chart" Target="../charts/chart4.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593324</xdr:colOff>
      <xdr:row>41</xdr:row>
      <xdr:rowOff>158750</xdr:rowOff>
    </xdr:to>
    <xdr:sp macro="" textlink="">
      <xdr:nvSpPr>
        <xdr:cNvPr id="2" name="Rectangle: Rounded Corners 1">
          <a:extLst>
            <a:ext uri="{FF2B5EF4-FFF2-40B4-BE49-F238E27FC236}">
              <a16:creationId xmlns:a16="http://schemas.microsoft.com/office/drawing/2014/main" id="{00000000-0008-0000-0300-000002000000}"/>
            </a:ext>
          </a:extLst>
        </xdr:cNvPr>
        <xdr:cNvSpPr/>
      </xdr:nvSpPr>
      <xdr:spPr>
        <a:xfrm>
          <a:off x="0" y="0"/>
          <a:ext cx="12256157" cy="7535333"/>
        </a:xfrm>
        <a:prstGeom prst="roundRect">
          <a:avLst>
            <a:gd name="adj" fmla="val 0"/>
          </a:avLst>
        </a:prstGeom>
        <a:gradFill flip="none" rotWithShape="1">
          <a:gsLst>
            <a:gs pos="0">
              <a:schemeClr val="accent6">
                <a:lumMod val="67000"/>
                <a:alpha val="90000"/>
              </a:schemeClr>
            </a:gs>
            <a:gs pos="48000">
              <a:schemeClr val="accent6">
                <a:lumMod val="97000"/>
                <a:lumOff val="3000"/>
                <a:alpha val="90000"/>
              </a:schemeClr>
            </a:gs>
            <a:gs pos="100000">
              <a:schemeClr val="accent6">
                <a:lumMod val="60000"/>
                <a:lumOff val="40000"/>
                <a:alpha val="9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128088</xdr:colOff>
      <xdr:row>0</xdr:row>
      <xdr:rowOff>162503</xdr:rowOff>
    </xdr:from>
    <xdr:to>
      <xdr:col>7</xdr:col>
      <xdr:colOff>503909</xdr:colOff>
      <xdr:row>5</xdr:row>
      <xdr:rowOff>165031</xdr:rowOff>
    </xdr:to>
    <xdr:sp macro="" textlink="">
      <xdr:nvSpPr>
        <xdr:cNvPr id="3" name="Rectangle: Rounded Corners 2">
          <a:extLst>
            <a:ext uri="{FF2B5EF4-FFF2-40B4-BE49-F238E27FC236}">
              <a16:creationId xmlns:a16="http://schemas.microsoft.com/office/drawing/2014/main" id="{00000000-0008-0000-0300-000003000000}"/>
            </a:ext>
          </a:extLst>
        </xdr:cNvPr>
        <xdr:cNvSpPr/>
      </xdr:nvSpPr>
      <xdr:spPr>
        <a:xfrm>
          <a:off x="128088" y="162503"/>
          <a:ext cx="4643021" cy="92327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71021</xdr:colOff>
      <xdr:row>0</xdr:row>
      <xdr:rowOff>136622</xdr:rowOff>
    </xdr:from>
    <xdr:to>
      <xdr:col>19</xdr:col>
      <xdr:colOff>495532</xdr:colOff>
      <xdr:row>5</xdr:row>
      <xdr:rowOff>139150</xdr:rowOff>
    </xdr:to>
    <xdr:sp macro="" textlink="">
      <xdr:nvSpPr>
        <xdr:cNvPr id="4" name="Rectangle: Rounded Corners 3">
          <a:extLst>
            <a:ext uri="{FF2B5EF4-FFF2-40B4-BE49-F238E27FC236}">
              <a16:creationId xmlns:a16="http://schemas.microsoft.com/office/drawing/2014/main" id="{00000000-0008-0000-0300-000004000000}"/>
            </a:ext>
          </a:extLst>
        </xdr:cNvPr>
        <xdr:cNvSpPr/>
      </xdr:nvSpPr>
      <xdr:spPr>
        <a:xfrm>
          <a:off x="4947821" y="136622"/>
          <a:ext cx="7130111" cy="923278"/>
        </a:xfrm>
        <a:prstGeom prst="roundRect">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152400</xdr:colOff>
      <xdr:row>6</xdr:row>
      <xdr:rowOff>117383</xdr:rowOff>
    </xdr:from>
    <xdr:to>
      <xdr:col>2</xdr:col>
      <xdr:colOff>412169</xdr:colOff>
      <xdr:row>13</xdr:row>
      <xdr:rowOff>22992</xdr:rowOff>
    </xdr:to>
    <xdr:sp macro="" textlink="">
      <xdr:nvSpPr>
        <xdr:cNvPr id="5" name="Rectangle: Rounded Corners 4">
          <a:extLst>
            <a:ext uri="{FF2B5EF4-FFF2-40B4-BE49-F238E27FC236}">
              <a16:creationId xmlns:a16="http://schemas.microsoft.com/office/drawing/2014/main" id="{00000000-0008-0000-0300-000005000000}"/>
            </a:ext>
          </a:extLst>
        </xdr:cNvPr>
        <xdr:cNvSpPr/>
      </xdr:nvSpPr>
      <xdr:spPr>
        <a:xfrm>
          <a:off x="152400" y="1222283"/>
          <a:ext cx="1478969" cy="1194659"/>
        </a:xfrm>
        <a:prstGeom prst="roundRect">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152400</xdr:colOff>
      <xdr:row>13</xdr:row>
      <xdr:rowOff>150868</xdr:rowOff>
    </xdr:from>
    <xdr:to>
      <xdr:col>2</xdr:col>
      <xdr:colOff>412169</xdr:colOff>
      <xdr:row>34</xdr:row>
      <xdr:rowOff>10583</xdr:rowOff>
    </xdr:to>
    <xdr:sp macro="" textlink="">
      <xdr:nvSpPr>
        <xdr:cNvPr id="6" name="Rectangle: Rounded Corners 5">
          <a:extLst>
            <a:ext uri="{FF2B5EF4-FFF2-40B4-BE49-F238E27FC236}">
              <a16:creationId xmlns:a16="http://schemas.microsoft.com/office/drawing/2014/main" id="{00000000-0008-0000-0300-000006000000}"/>
            </a:ext>
          </a:extLst>
        </xdr:cNvPr>
        <xdr:cNvSpPr/>
      </xdr:nvSpPr>
      <xdr:spPr>
        <a:xfrm>
          <a:off x="152400" y="2489785"/>
          <a:ext cx="1487436" cy="3637965"/>
        </a:xfrm>
        <a:prstGeom prst="roundRect">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591342</xdr:colOff>
      <xdr:row>6</xdr:row>
      <xdr:rowOff>100131</xdr:rowOff>
    </xdr:from>
    <xdr:to>
      <xdr:col>6</xdr:col>
      <xdr:colOff>518562</xdr:colOff>
      <xdr:row>11</xdr:row>
      <xdr:rowOff>102659</xdr:rowOff>
    </xdr:to>
    <xdr:sp macro="" textlink="">
      <xdr:nvSpPr>
        <xdr:cNvPr id="7" name="Rectangle: Rounded Corners 6">
          <a:extLst>
            <a:ext uri="{FF2B5EF4-FFF2-40B4-BE49-F238E27FC236}">
              <a16:creationId xmlns:a16="http://schemas.microsoft.com/office/drawing/2014/main" id="{00000000-0008-0000-0300-000007000000}"/>
            </a:ext>
          </a:extLst>
        </xdr:cNvPr>
        <xdr:cNvSpPr/>
      </xdr:nvSpPr>
      <xdr:spPr>
        <a:xfrm>
          <a:off x="1810542" y="1205031"/>
          <a:ext cx="2365620" cy="92327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152399</xdr:colOff>
      <xdr:row>34</xdr:row>
      <xdr:rowOff>161183</xdr:rowOff>
    </xdr:from>
    <xdr:to>
      <xdr:col>2</xdr:col>
      <xdr:colOff>412168</xdr:colOff>
      <xdr:row>41</xdr:row>
      <xdr:rowOff>66793</xdr:rowOff>
    </xdr:to>
    <xdr:sp macro="" textlink="">
      <xdr:nvSpPr>
        <xdr:cNvPr id="8" name="Rectangle: Rounded Corners 7">
          <a:extLst>
            <a:ext uri="{FF2B5EF4-FFF2-40B4-BE49-F238E27FC236}">
              <a16:creationId xmlns:a16="http://schemas.microsoft.com/office/drawing/2014/main" id="{00000000-0008-0000-0300-000008000000}"/>
            </a:ext>
          </a:extLst>
        </xdr:cNvPr>
        <xdr:cNvSpPr/>
      </xdr:nvSpPr>
      <xdr:spPr>
        <a:xfrm>
          <a:off x="152399" y="6278350"/>
          <a:ext cx="1487436" cy="1165026"/>
        </a:xfrm>
        <a:prstGeom prst="roundRect">
          <a:avLst>
            <a:gd name="adj" fmla="val 50000"/>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7</xdr:col>
      <xdr:colOff>88135</xdr:colOff>
      <xdr:row>6</xdr:row>
      <xdr:rowOff>100131</xdr:rowOff>
    </xdr:from>
    <xdr:to>
      <xdr:col>11</xdr:col>
      <xdr:colOff>15355</xdr:colOff>
      <xdr:row>11</xdr:row>
      <xdr:rowOff>102659</xdr:rowOff>
    </xdr:to>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4355335" y="1205031"/>
          <a:ext cx="2365620" cy="923278"/>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11</xdr:col>
      <xdr:colOff>215694</xdr:colOff>
      <xdr:row>6</xdr:row>
      <xdr:rowOff>153046</xdr:rowOff>
    </xdr:from>
    <xdr:to>
      <xdr:col>15</xdr:col>
      <xdr:colOff>142914</xdr:colOff>
      <xdr:row>11</xdr:row>
      <xdr:rowOff>155574</xdr:rowOff>
    </xdr:to>
    <xdr:sp macro="" textlink="">
      <xdr:nvSpPr>
        <xdr:cNvPr id="10" name="Rectangle: Rounded Corners 9">
          <a:extLst>
            <a:ext uri="{FF2B5EF4-FFF2-40B4-BE49-F238E27FC236}">
              <a16:creationId xmlns:a16="http://schemas.microsoft.com/office/drawing/2014/main" id="{00000000-0008-0000-0300-00000A000000}"/>
            </a:ext>
          </a:extLst>
        </xdr:cNvPr>
        <xdr:cNvSpPr/>
      </xdr:nvSpPr>
      <xdr:spPr>
        <a:xfrm>
          <a:off x="6967861" y="1232546"/>
          <a:ext cx="2382553" cy="902111"/>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591342</xdr:colOff>
      <xdr:row>12</xdr:row>
      <xdr:rowOff>89517</xdr:rowOff>
    </xdr:from>
    <xdr:to>
      <xdr:col>7</xdr:col>
      <xdr:colOff>528221</xdr:colOff>
      <xdr:row>29</xdr:row>
      <xdr:rowOff>74084</xdr:rowOff>
    </xdr:to>
    <xdr:sp macro="" textlink="">
      <xdr:nvSpPr>
        <xdr:cNvPr id="11" name="Rectangle: Rounded Corners 10">
          <a:extLst>
            <a:ext uri="{FF2B5EF4-FFF2-40B4-BE49-F238E27FC236}">
              <a16:creationId xmlns:a16="http://schemas.microsoft.com/office/drawing/2014/main" id="{00000000-0008-0000-0300-00000B000000}"/>
            </a:ext>
          </a:extLst>
        </xdr:cNvPr>
        <xdr:cNvSpPr/>
      </xdr:nvSpPr>
      <xdr:spPr>
        <a:xfrm>
          <a:off x="1819009" y="2248517"/>
          <a:ext cx="3006045" cy="304315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8</xdr:col>
      <xdr:colOff>97794</xdr:colOff>
      <xdr:row>12</xdr:row>
      <xdr:rowOff>63640</xdr:rowOff>
    </xdr:from>
    <xdr:to>
      <xdr:col>12</xdr:col>
      <xdr:colOff>302901</xdr:colOff>
      <xdr:row>29</xdr:row>
      <xdr:rowOff>74084</xdr:rowOff>
    </xdr:to>
    <xdr:sp macro="" textlink="">
      <xdr:nvSpPr>
        <xdr:cNvPr id="12" name="Rectangle: Rounded Corners 11">
          <a:extLst>
            <a:ext uri="{FF2B5EF4-FFF2-40B4-BE49-F238E27FC236}">
              <a16:creationId xmlns:a16="http://schemas.microsoft.com/office/drawing/2014/main" id="{00000000-0008-0000-0300-00000C000000}"/>
            </a:ext>
          </a:extLst>
        </xdr:cNvPr>
        <xdr:cNvSpPr/>
      </xdr:nvSpPr>
      <xdr:spPr>
        <a:xfrm>
          <a:off x="5008461" y="2222640"/>
          <a:ext cx="2660440" cy="3069027"/>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471579</xdr:colOff>
      <xdr:row>12</xdr:row>
      <xdr:rowOff>63639</xdr:rowOff>
    </xdr:from>
    <xdr:to>
      <xdr:col>15</xdr:col>
      <xdr:colOff>121748</xdr:colOff>
      <xdr:row>29</xdr:row>
      <xdr:rowOff>84667</xdr:rowOff>
    </xdr:to>
    <xdr:sp macro="" textlink="">
      <xdr:nvSpPr>
        <xdr:cNvPr id="13" name="Rectangle: Rounded Corners 12">
          <a:extLst>
            <a:ext uri="{FF2B5EF4-FFF2-40B4-BE49-F238E27FC236}">
              <a16:creationId xmlns:a16="http://schemas.microsoft.com/office/drawing/2014/main" id="{00000000-0008-0000-0300-00000D000000}"/>
            </a:ext>
          </a:extLst>
        </xdr:cNvPr>
        <xdr:cNvSpPr/>
      </xdr:nvSpPr>
      <xdr:spPr>
        <a:xfrm>
          <a:off x="7837579" y="2222639"/>
          <a:ext cx="1491669" cy="3079611"/>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12</xdr:col>
      <xdr:colOff>309564</xdr:colOff>
      <xdr:row>30</xdr:row>
      <xdr:rowOff>21167</xdr:rowOff>
    </xdr:from>
    <xdr:to>
      <xdr:col>15</xdr:col>
      <xdr:colOff>163993</xdr:colOff>
      <xdr:row>40</xdr:row>
      <xdr:rowOff>148166</xdr:rowOff>
    </xdr:to>
    <xdr:sp macro="" textlink="">
      <xdr:nvSpPr>
        <xdr:cNvPr id="14" name="Rectangle: Rounded Corners 13">
          <a:extLst>
            <a:ext uri="{FF2B5EF4-FFF2-40B4-BE49-F238E27FC236}">
              <a16:creationId xmlns:a16="http://schemas.microsoft.com/office/drawing/2014/main" id="{00000000-0008-0000-0300-00000E000000}"/>
            </a:ext>
          </a:extLst>
        </xdr:cNvPr>
        <xdr:cNvSpPr/>
      </xdr:nvSpPr>
      <xdr:spPr>
        <a:xfrm>
          <a:off x="7643814" y="5498042"/>
          <a:ext cx="1687992" cy="1952624"/>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591340</xdr:colOff>
      <xdr:row>30</xdr:row>
      <xdr:rowOff>11287</xdr:rowOff>
    </xdr:from>
    <xdr:to>
      <xdr:col>12</xdr:col>
      <xdr:colOff>171979</xdr:colOff>
      <xdr:row>41</xdr:row>
      <xdr:rowOff>10584</xdr:rowOff>
    </xdr:to>
    <xdr:sp macro="" textlink="">
      <xdr:nvSpPr>
        <xdr:cNvPr id="15" name="Rectangle: Rounded Corners 14">
          <a:extLst>
            <a:ext uri="{FF2B5EF4-FFF2-40B4-BE49-F238E27FC236}">
              <a16:creationId xmlns:a16="http://schemas.microsoft.com/office/drawing/2014/main" id="{00000000-0008-0000-0300-00000F000000}"/>
            </a:ext>
          </a:extLst>
        </xdr:cNvPr>
        <xdr:cNvSpPr/>
      </xdr:nvSpPr>
      <xdr:spPr>
        <a:xfrm>
          <a:off x="1819007" y="5408787"/>
          <a:ext cx="5718972" cy="197838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431264</xdr:colOff>
      <xdr:row>6</xdr:row>
      <xdr:rowOff>114226</xdr:rowOff>
    </xdr:from>
    <xdr:to>
      <xdr:col>19</xdr:col>
      <xdr:colOff>523278</xdr:colOff>
      <xdr:row>7</xdr:row>
      <xdr:rowOff>151108</xdr:rowOff>
    </xdr:to>
    <xdr:sp macro="" textlink="">
      <xdr:nvSpPr>
        <xdr:cNvPr id="16" name="Trapezoid 15">
          <a:extLst>
            <a:ext uri="{FF2B5EF4-FFF2-40B4-BE49-F238E27FC236}">
              <a16:creationId xmlns:a16="http://schemas.microsoft.com/office/drawing/2014/main" id="{00000000-0008-0000-0300-000010000000}"/>
            </a:ext>
          </a:extLst>
        </xdr:cNvPr>
        <xdr:cNvSpPr/>
      </xdr:nvSpPr>
      <xdr:spPr>
        <a:xfrm>
          <a:off x="10794464" y="1219126"/>
          <a:ext cx="1311214" cy="221032"/>
        </a:xfrm>
        <a:prstGeom prst="trapezoid">
          <a:avLst>
            <a:gd name="adj" fmla="val 44514"/>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17</xdr:col>
      <xdr:colOff>522413</xdr:colOff>
      <xdr:row>6</xdr:row>
      <xdr:rowOff>100131</xdr:rowOff>
    </xdr:from>
    <xdr:to>
      <xdr:col>19</xdr:col>
      <xdr:colOff>424648</xdr:colOff>
      <xdr:row>20</xdr:row>
      <xdr:rowOff>150813</xdr:rowOff>
    </xdr:to>
    <xdr:sp macro="" textlink="">
      <xdr:nvSpPr>
        <xdr:cNvPr id="17" name="Flowchart: Off-page Connector 16">
          <a:extLst>
            <a:ext uri="{FF2B5EF4-FFF2-40B4-BE49-F238E27FC236}">
              <a16:creationId xmlns:a16="http://schemas.microsoft.com/office/drawing/2014/main" id="{00000000-0008-0000-0300-000011000000}"/>
            </a:ext>
          </a:extLst>
        </xdr:cNvPr>
        <xdr:cNvSpPr/>
      </xdr:nvSpPr>
      <xdr:spPr>
        <a:xfrm>
          <a:off x="10912601" y="1195506"/>
          <a:ext cx="1124610" cy="2606557"/>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290425</xdr:colOff>
      <xdr:row>6</xdr:row>
      <xdr:rowOff>129400</xdr:rowOff>
    </xdr:from>
    <xdr:to>
      <xdr:col>17</xdr:col>
      <xdr:colOff>382439</xdr:colOff>
      <xdr:row>7</xdr:row>
      <xdr:rowOff>166282</xdr:rowOff>
    </xdr:to>
    <xdr:sp macro="" textlink="">
      <xdr:nvSpPr>
        <xdr:cNvPr id="18" name="Trapezoid 17">
          <a:extLst>
            <a:ext uri="{FF2B5EF4-FFF2-40B4-BE49-F238E27FC236}">
              <a16:creationId xmlns:a16="http://schemas.microsoft.com/office/drawing/2014/main" id="{00000000-0008-0000-0300-000012000000}"/>
            </a:ext>
          </a:extLst>
        </xdr:cNvPr>
        <xdr:cNvSpPr/>
      </xdr:nvSpPr>
      <xdr:spPr>
        <a:xfrm>
          <a:off x="9434425" y="1234300"/>
          <a:ext cx="1311214" cy="221032"/>
        </a:xfrm>
        <a:prstGeom prst="trapezoid">
          <a:avLst>
            <a:gd name="adj" fmla="val 44514"/>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258674</xdr:colOff>
      <xdr:row>21</xdr:row>
      <xdr:rowOff>90716</xdr:rowOff>
    </xdr:from>
    <xdr:to>
      <xdr:col>19</xdr:col>
      <xdr:colOff>463781</xdr:colOff>
      <xdr:row>40</xdr:row>
      <xdr:rowOff>162042</xdr:rowOff>
    </xdr:to>
    <xdr:sp macro="" textlink="">
      <xdr:nvSpPr>
        <xdr:cNvPr id="19" name="Rectangle: Rounded Corners 18">
          <a:extLst>
            <a:ext uri="{FF2B5EF4-FFF2-40B4-BE49-F238E27FC236}">
              <a16:creationId xmlns:a16="http://schemas.microsoft.com/office/drawing/2014/main" id="{00000000-0008-0000-0300-000013000000}"/>
            </a:ext>
          </a:extLst>
        </xdr:cNvPr>
        <xdr:cNvSpPr/>
      </xdr:nvSpPr>
      <xdr:spPr>
        <a:xfrm>
          <a:off x="9466174" y="3868966"/>
          <a:ext cx="2660440" cy="3489743"/>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370963</xdr:colOff>
      <xdr:row>6</xdr:row>
      <xdr:rowOff>117383</xdr:rowOff>
    </xdr:from>
    <xdr:to>
      <xdr:col>17</xdr:col>
      <xdr:colOff>273198</xdr:colOff>
      <xdr:row>21</xdr:row>
      <xdr:rowOff>7937</xdr:rowOff>
    </xdr:to>
    <xdr:sp macro="" textlink="">
      <xdr:nvSpPr>
        <xdr:cNvPr id="20" name="Flowchart: Off-page Connector 19">
          <a:extLst>
            <a:ext uri="{FF2B5EF4-FFF2-40B4-BE49-F238E27FC236}">
              <a16:creationId xmlns:a16="http://schemas.microsoft.com/office/drawing/2014/main" id="{00000000-0008-0000-0300-000014000000}"/>
            </a:ext>
          </a:extLst>
        </xdr:cNvPr>
        <xdr:cNvSpPr/>
      </xdr:nvSpPr>
      <xdr:spPr>
        <a:xfrm>
          <a:off x="9538776" y="1212758"/>
          <a:ext cx="1124610" cy="2628992"/>
        </a:xfrm>
        <a:prstGeom prst="flowChartOffpageConnector">
          <a:avLst/>
        </a:prstGeom>
        <a:solidFill>
          <a:schemeClr val="accent6"/>
        </a:solidFill>
        <a:ln>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235818</xdr:colOff>
      <xdr:row>14</xdr:row>
      <xdr:rowOff>105348</xdr:rowOff>
    </xdr:from>
    <xdr:to>
      <xdr:col>7</xdr:col>
      <xdr:colOff>351586</xdr:colOff>
      <xdr:row>14</xdr:row>
      <xdr:rowOff>105348</xdr:rowOff>
    </xdr:to>
    <xdr:cxnSp macro="">
      <xdr:nvCxnSpPr>
        <xdr:cNvPr id="21" name="Straight Connector 20">
          <a:extLst>
            <a:ext uri="{FF2B5EF4-FFF2-40B4-BE49-F238E27FC236}">
              <a16:creationId xmlns:a16="http://schemas.microsoft.com/office/drawing/2014/main" id="{00000000-0008-0000-0300-000015000000}"/>
            </a:ext>
          </a:extLst>
        </xdr:cNvPr>
        <xdr:cNvCxnSpPr>
          <a:cxnSpLocks/>
        </xdr:cNvCxnSpPr>
      </xdr:nvCxnSpPr>
      <xdr:spPr>
        <a:xfrm>
          <a:off x="2064618" y="2683448"/>
          <a:ext cx="2554168"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246483</xdr:colOff>
      <xdr:row>14</xdr:row>
      <xdr:rowOff>105348</xdr:rowOff>
    </xdr:from>
    <xdr:to>
      <xdr:col>12</xdr:col>
      <xdr:colOff>162400</xdr:colOff>
      <xdr:row>14</xdr:row>
      <xdr:rowOff>105348</xdr:rowOff>
    </xdr:to>
    <xdr:cxnSp macro="">
      <xdr:nvCxnSpPr>
        <xdr:cNvPr id="22" name="Straight Connector 21">
          <a:extLst>
            <a:ext uri="{FF2B5EF4-FFF2-40B4-BE49-F238E27FC236}">
              <a16:creationId xmlns:a16="http://schemas.microsoft.com/office/drawing/2014/main" id="{00000000-0008-0000-0300-000016000000}"/>
            </a:ext>
          </a:extLst>
        </xdr:cNvPr>
        <xdr:cNvCxnSpPr>
          <a:cxnSpLocks/>
        </xdr:cNvCxnSpPr>
      </xdr:nvCxnSpPr>
      <xdr:spPr>
        <a:xfrm>
          <a:off x="5123283" y="2683448"/>
          <a:ext cx="2354317"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602493</xdr:colOff>
      <xdr:row>14</xdr:row>
      <xdr:rowOff>109200</xdr:rowOff>
    </xdr:from>
    <xdr:to>
      <xdr:col>14</xdr:col>
      <xdr:colOff>600433</xdr:colOff>
      <xdr:row>14</xdr:row>
      <xdr:rowOff>109200</xdr:rowOff>
    </xdr:to>
    <xdr:cxnSp macro="">
      <xdr:nvCxnSpPr>
        <xdr:cNvPr id="23" name="Straight Connector 22">
          <a:extLst>
            <a:ext uri="{FF2B5EF4-FFF2-40B4-BE49-F238E27FC236}">
              <a16:creationId xmlns:a16="http://schemas.microsoft.com/office/drawing/2014/main" id="{00000000-0008-0000-0300-000017000000}"/>
            </a:ext>
          </a:extLst>
        </xdr:cNvPr>
        <xdr:cNvCxnSpPr>
          <a:cxnSpLocks/>
        </xdr:cNvCxnSpPr>
      </xdr:nvCxnSpPr>
      <xdr:spPr>
        <a:xfrm>
          <a:off x="7917693" y="2687300"/>
          <a:ext cx="1217140"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235818</xdr:colOff>
      <xdr:row>32</xdr:row>
      <xdr:rowOff>36403</xdr:rowOff>
    </xdr:from>
    <xdr:to>
      <xdr:col>12</xdr:col>
      <xdr:colOff>15255</xdr:colOff>
      <xdr:row>32</xdr:row>
      <xdr:rowOff>36403</xdr:rowOff>
    </xdr:to>
    <xdr:cxnSp macro="">
      <xdr:nvCxnSpPr>
        <xdr:cNvPr id="24" name="Straight Connector 23">
          <a:extLst>
            <a:ext uri="{FF2B5EF4-FFF2-40B4-BE49-F238E27FC236}">
              <a16:creationId xmlns:a16="http://schemas.microsoft.com/office/drawing/2014/main" id="{00000000-0008-0000-0300-000018000000}"/>
            </a:ext>
          </a:extLst>
        </xdr:cNvPr>
        <xdr:cNvCxnSpPr>
          <a:cxnSpLocks/>
        </xdr:cNvCxnSpPr>
      </xdr:nvCxnSpPr>
      <xdr:spPr>
        <a:xfrm>
          <a:off x="2077318" y="5793736"/>
          <a:ext cx="5303937"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45720</xdr:colOff>
      <xdr:row>32</xdr:row>
      <xdr:rowOff>57312</xdr:rowOff>
    </xdr:from>
    <xdr:to>
      <xdr:col>15</xdr:col>
      <xdr:colOff>43660</xdr:colOff>
      <xdr:row>32</xdr:row>
      <xdr:rowOff>57312</xdr:rowOff>
    </xdr:to>
    <xdr:cxnSp macro="">
      <xdr:nvCxnSpPr>
        <xdr:cNvPr id="25" name="Straight Connector 24">
          <a:extLst>
            <a:ext uri="{FF2B5EF4-FFF2-40B4-BE49-F238E27FC236}">
              <a16:creationId xmlns:a16="http://schemas.microsoft.com/office/drawing/2014/main" id="{00000000-0008-0000-0300-000019000000}"/>
            </a:ext>
          </a:extLst>
        </xdr:cNvPr>
        <xdr:cNvCxnSpPr>
          <a:cxnSpLocks/>
        </xdr:cNvCxnSpPr>
      </xdr:nvCxnSpPr>
      <xdr:spPr>
        <a:xfrm>
          <a:off x="8025553" y="5814645"/>
          <a:ext cx="1225607"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530484</xdr:colOff>
      <xdr:row>7</xdr:row>
      <xdr:rowOff>140864</xdr:rowOff>
    </xdr:from>
    <xdr:to>
      <xdr:col>17</xdr:col>
      <xdr:colOff>140410</xdr:colOff>
      <xdr:row>20</xdr:row>
      <xdr:rowOff>31750</xdr:rowOff>
    </xdr:to>
    <xdr:sp macro="" textlink="">
      <xdr:nvSpPr>
        <xdr:cNvPr id="26" name="Flowchart: Off-page Connector 25">
          <a:extLst>
            <a:ext uri="{FF2B5EF4-FFF2-40B4-BE49-F238E27FC236}">
              <a16:creationId xmlns:a16="http://schemas.microsoft.com/office/drawing/2014/main" id="{00000000-0008-0000-0300-00001A000000}"/>
            </a:ext>
          </a:extLst>
        </xdr:cNvPr>
        <xdr:cNvSpPr/>
      </xdr:nvSpPr>
      <xdr:spPr>
        <a:xfrm>
          <a:off x="9698297" y="1418802"/>
          <a:ext cx="832301" cy="2264198"/>
        </a:xfrm>
        <a:prstGeom prst="flowChartOffpageConnector">
          <a:avLst/>
        </a:prstGeom>
        <a:noFill/>
        <a:ln w="19050">
          <a:solidFill>
            <a:schemeClr val="bg1"/>
          </a:solidFill>
          <a:prstDash val="dash"/>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18</xdr:col>
      <xdr:colOff>65213</xdr:colOff>
      <xdr:row>7</xdr:row>
      <xdr:rowOff>158843</xdr:rowOff>
    </xdr:from>
    <xdr:to>
      <xdr:col>19</xdr:col>
      <xdr:colOff>284739</xdr:colOff>
      <xdr:row>19</xdr:row>
      <xdr:rowOff>166687</xdr:rowOff>
    </xdr:to>
    <xdr:sp macro="" textlink="">
      <xdr:nvSpPr>
        <xdr:cNvPr id="27" name="Flowchart: Off-page Connector 26">
          <a:extLst>
            <a:ext uri="{FF2B5EF4-FFF2-40B4-BE49-F238E27FC236}">
              <a16:creationId xmlns:a16="http://schemas.microsoft.com/office/drawing/2014/main" id="{00000000-0008-0000-0300-00001B000000}"/>
            </a:ext>
          </a:extLst>
        </xdr:cNvPr>
        <xdr:cNvSpPr/>
      </xdr:nvSpPr>
      <xdr:spPr>
        <a:xfrm>
          <a:off x="11066588" y="1436781"/>
          <a:ext cx="830714" cy="2198594"/>
        </a:xfrm>
        <a:prstGeom prst="flowChartOffpageConnector">
          <a:avLst/>
        </a:prstGeom>
        <a:noFill/>
        <a:ln w="19050">
          <a:solidFill>
            <a:schemeClr val="bg1"/>
          </a:solidFill>
          <a:prstDash val="dash"/>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15</xdr:col>
      <xdr:colOff>412750</xdr:colOff>
      <xdr:row>24</xdr:row>
      <xdr:rowOff>14040</xdr:rowOff>
    </xdr:from>
    <xdr:to>
      <xdr:col>19</xdr:col>
      <xdr:colOff>300814</xdr:colOff>
      <xdr:row>24</xdr:row>
      <xdr:rowOff>31750</xdr:rowOff>
    </xdr:to>
    <xdr:cxnSp macro="">
      <xdr:nvCxnSpPr>
        <xdr:cNvPr id="28" name="Straight Connector 27">
          <a:extLst>
            <a:ext uri="{FF2B5EF4-FFF2-40B4-BE49-F238E27FC236}">
              <a16:creationId xmlns:a16="http://schemas.microsoft.com/office/drawing/2014/main" id="{00000000-0008-0000-0300-00001C000000}"/>
            </a:ext>
          </a:extLst>
        </xdr:cNvPr>
        <xdr:cNvCxnSpPr>
          <a:cxnSpLocks/>
        </xdr:cNvCxnSpPr>
      </xdr:nvCxnSpPr>
      <xdr:spPr>
        <a:xfrm flipV="1">
          <a:off x="9620250" y="4332040"/>
          <a:ext cx="2343397" cy="1771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426358</xdr:colOff>
      <xdr:row>1</xdr:row>
      <xdr:rowOff>90715</xdr:rowOff>
    </xdr:from>
    <xdr:to>
      <xdr:col>6</xdr:col>
      <xdr:colOff>444500</xdr:colOff>
      <xdr:row>4</xdr:row>
      <xdr:rowOff>39688</xdr:rowOff>
    </xdr:to>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1040191" y="270632"/>
          <a:ext cx="3087309" cy="488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SALES</a:t>
          </a:r>
          <a:r>
            <a:rPr lang="en-US" sz="2800" b="1" baseline="0">
              <a:solidFill>
                <a:schemeClr val="bg1"/>
              </a:solidFill>
            </a:rPr>
            <a:t> DASHBOARD</a:t>
          </a:r>
          <a:endParaRPr lang="en-US" sz="2800" b="1">
            <a:solidFill>
              <a:schemeClr val="bg1"/>
            </a:solidFill>
          </a:endParaRPr>
        </a:p>
      </xdr:txBody>
    </xdr:sp>
    <xdr:clientData/>
  </xdr:twoCellAnchor>
  <xdr:twoCellAnchor>
    <xdr:from>
      <xdr:col>1</xdr:col>
      <xdr:colOff>423031</xdr:colOff>
      <xdr:row>4</xdr:row>
      <xdr:rowOff>7256</xdr:rowOff>
    </xdr:from>
    <xdr:to>
      <xdr:col>4</xdr:col>
      <xdr:colOff>34773</xdr:colOff>
      <xdr:row>5</xdr:row>
      <xdr:rowOff>116416</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1036864" y="726923"/>
          <a:ext cx="1453242" cy="28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solidFill>
            </a:rPr>
            <a:t>SUPERMARKET</a:t>
          </a:r>
          <a:r>
            <a:rPr lang="en-US" sz="1100" b="1" baseline="0">
              <a:solidFill>
                <a:schemeClr val="accent2"/>
              </a:solidFill>
            </a:rPr>
            <a:t> SHOP</a:t>
          </a:r>
          <a:endParaRPr lang="en-US" sz="1100" b="1">
            <a:solidFill>
              <a:schemeClr val="accent2"/>
            </a:solidFill>
          </a:endParaRPr>
        </a:p>
      </xdr:txBody>
    </xdr:sp>
    <xdr:clientData/>
  </xdr:twoCellAnchor>
  <xdr:twoCellAnchor>
    <xdr:from>
      <xdr:col>3</xdr:col>
      <xdr:colOff>438153</xdr:colOff>
      <xdr:row>12</xdr:row>
      <xdr:rowOff>173565</xdr:rowOff>
    </xdr:from>
    <xdr:to>
      <xdr:col>5</xdr:col>
      <xdr:colOff>52917</xdr:colOff>
      <xdr:row>14</xdr:row>
      <xdr:rowOff>95250</xdr:rowOff>
    </xdr:to>
    <xdr:sp macro="" textlink="">
      <xdr:nvSpPr>
        <xdr:cNvPr id="31" name="TextBox 30">
          <a:extLst>
            <a:ext uri="{FF2B5EF4-FFF2-40B4-BE49-F238E27FC236}">
              <a16:creationId xmlns:a16="http://schemas.microsoft.com/office/drawing/2014/main" id="{00000000-0008-0000-0300-00001F000000}"/>
            </a:ext>
          </a:extLst>
        </xdr:cNvPr>
        <xdr:cNvSpPr txBox="1"/>
      </xdr:nvSpPr>
      <xdr:spPr>
        <a:xfrm>
          <a:off x="2279653" y="2332565"/>
          <a:ext cx="842431" cy="281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MONTHLY</a:t>
          </a:r>
        </a:p>
      </xdr:txBody>
    </xdr:sp>
    <xdr:clientData/>
  </xdr:twoCellAnchor>
  <xdr:twoCellAnchor>
    <xdr:from>
      <xdr:col>11</xdr:col>
      <xdr:colOff>359230</xdr:colOff>
      <xdr:row>7</xdr:row>
      <xdr:rowOff>14515</xdr:rowOff>
    </xdr:from>
    <xdr:to>
      <xdr:col>13</xdr:col>
      <xdr:colOff>42334</xdr:colOff>
      <xdr:row>8</xdr:row>
      <xdr:rowOff>105834</xdr:rowOff>
    </xdr:to>
    <xdr:sp macro="" textlink="">
      <xdr:nvSpPr>
        <xdr:cNvPr id="32" name="TextBox 31">
          <a:extLst>
            <a:ext uri="{FF2B5EF4-FFF2-40B4-BE49-F238E27FC236}">
              <a16:creationId xmlns:a16="http://schemas.microsoft.com/office/drawing/2014/main" id="{00000000-0008-0000-0300-000020000000}"/>
            </a:ext>
          </a:extLst>
        </xdr:cNvPr>
        <xdr:cNvSpPr txBox="1"/>
      </xdr:nvSpPr>
      <xdr:spPr>
        <a:xfrm>
          <a:off x="7111397" y="1273932"/>
          <a:ext cx="910770" cy="27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solidFill>
            </a:rPr>
            <a:t>PROFIT</a:t>
          </a:r>
          <a:r>
            <a:rPr lang="en-US" sz="1200" b="1" baseline="0">
              <a:solidFill>
                <a:schemeClr val="accent2"/>
              </a:solidFill>
            </a:rPr>
            <a:t> %</a:t>
          </a:r>
          <a:endParaRPr lang="en-US" sz="1200" b="1">
            <a:solidFill>
              <a:schemeClr val="accent2"/>
            </a:solidFill>
          </a:endParaRPr>
        </a:p>
      </xdr:txBody>
    </xdr:sp>
    <xdr:clientData/>
  </xdr:twoCellAnchor>
  <xdr:twoCellAnchor>
    <xdr:from>
      <xdr:col>7</xdr:col>
      <xdr:colOff>296185</xdr:colOff>
      <xdr:row>7</xdr:row>
      <xdr:rowOff>4762</xdr:rowOff>
    </xdr:from>
    <xdr:to>
      <xdr:col>9</xdr:col>
      <xdr:colOff>222250</xdr:colOff>
      <xdr:row>8</xdr:row>
      <xdr:rowOff>95250</xdr:rowOff>
    </xdr:to>
    <xdr:sp macro="" textlink="">
      <xdr:nvSpPr>
        <xdr:cNvPr id="33" name="TextBox 32">
          <a:extLst>
            <a:ext uri="{FF2B5EF4-FFF2-40B4-BE49-F238E27FC236}">
              <a16:creationId xmlns:a16="http://schemas.microsoft.com/office/drawing/2014/main" id="{00000000-0008-0000-0300-000021000000}"/>
            </a:ext>
          </a:extLst>
        </xdr:cNvPr>
        <xdr:cNvSpPr txBox="1"/>
      </xdr:nvSpPr>
      <xdr:spPr>
        <a:xfrm>
          <a:off x="4593018" y="1264179"/>
          <a:ext cx="1153732" cy="270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accent2"/>
              </a:solidFill>
              <a:latin typeface="+mn-lt"/>
              <a:ea typeface="+mn-ea"/>
              <a:cs typeface="+mn-cs"/>
            </a:rPr>
            <a:t>TOTAL PROFIT</a:t>
          </a:r>
        </a:p>
      </xdr:txBody>
    </xdr:sp>
    <xdr:clientData/>
  </xdr:twoCellAnchor>
  <xdr:twoCellAnchor>
    <xdr:from>
      <xdr:col>3</xdr:col>
      <xdr:colOff>302307</xdr:colOff>
      <xdr:row>7</xdr:row>
      <xdr:rowOff>2948</xdr:rowOff>
    </xdr:from>
    <xdr:to>
      <xdr:col>5</xdr:col>
      <xdr:colOff>137583</xdr:colOff>
      <xdr:row>8</xdr:row>
      <xdr:rowOff>105834</xdr:rowOff>
    </xdr:to>
    <xdr:sp macro="" textlink="">
      <xdr:nvSpPr>
        <xdr:cNvPr id="34" name="TextBox 33">
          <a:extLst>
            <a:ext uri="{FF2B5EF4-FFF2-40B4-BE49-F238E27FC236}">
              <a16:creationId xmlns:a16="http://schemas.microsoft.com/office/drawing/2014/main" id="{00000000-0008-0000-0300-000022000000}"/>
            </a:ext>
          </a:extLst>
        </xdr:cNvPr>
        <xdr:cNvSpPr txBox="1"/>
      </xdr:nvSpPr>
      <xdr:spPr>
        <a:xfrm>
          <a:off x="2143807" y="1262365"/>
          <a:ext cx="1062943" cy="282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2"/>
              </a:solidFill>
            </a:rPr>
            <a:t>TOTAL</a:t>
          </a:r>
          <a:r>
            <a:rPr lang="en-US" sz="1200" b="1" baseline="0">
              <a:solidFill>
                <a:schemeClr val="accent2"/>
              </a:solidFill>
            </a:rPr>
            <a:t> SALES</a:t>
          </a:r>
          <a:endParaRPr lang="en-US" sz="1200" b="1">
            <a:solidFill>
              <a:schemeClr val="accent2"/>
            </a:solidFill>
          </a:endParaRPr>
        </a:p>
      </xdr:txBody>
    </xdr:sp>
    <xdr:clientData/>
  </xdr:twoCellAnchor>
  <xdr:twoCellAnchor>
    <xdr:from>
      <xdr:col>16</xdr:col>
      <xdr:colOff>62897</xdr:colOff>
      <xdr:row>12</xdr:row>
      <xdr:rowOff>73857</xdr:rowOff>
    </xdr:from>
    <xdr:to>
      <xdr:col>16</xdr:col>
      <xdr:colOff>423334</xdr:colOff>
      <xdr:row>14</xdr:row>
      <xdr:rowOff>2</xdr:rowOff>
    </xdr:to>
    <xdr:sp macro="" textlink="Analysis!Y1">
      <xdr:nvSpPr>
        <xdr:cNvPr id="35" name="TextBox 34">
          <a:extLst>
            <a:ext uri="{FF2B5EF4-FFF2-40B4-BE49-F238E27FC236}">
              <a16:creationId xmlns:a16="http://schemas.microsoft.com/office/drawing/2014/main" id="{00000000-0008-0000-0300-000023000000}"/>
            </a:ext>
          </a:extLst>
        </xdr:cNvPr>
        <xdr:cNvSpPr txBox="1"/>
      </xdr:nvSpPr>
      <xdr:spPr>
        <a:xfrm>
          <a:off x="9884230" y="2232857"/>
          <a:ext cx="360437" cy="28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20D554B-B3D0-461B-991B-BD33F7BC1A2B}" type="TxLink">
            <a:rPr lang="en-US" sz="1200" b="1" i="0" u="none" strike="noStrike">
              <a:solidFill>
                <a:schemeClr val="bg1"/>
              </a:solidFill>
              <a:latin typeface="Calibri"/>
              <a:ea typeface="Calibri"/>
              <a:cs typeface="Calibri"/>
            </a:rPr>
            <a:pPr marL="0" indent="0"/>
            <a:t>31</a:t>
          </a:fld>
          <a:endParaRPr lang="en-US" sz="1200" b="1" i="0" u="none" strike="noStrike">
            <a:solidFill>
              <a:schemeClr val="bg1"/>
            </a:solidFill>
            <a:latin typeface="Calibri"/>
            <a:ea typeface="Calibri"/>
            <a:cs typeface="Calibri"/>
          </a:endParaRPr>
        </a:p>
      </xdr:txBody>
    </xdr:sp>
    <xdr:clientData/>
  </xdr:twoCellAnchor>
  <xdr:twoCellAnchor>
    <xdr:from>
      <xdr:col>15</xdr:col>
      <xdr:colOff>542623</xdr:colOff>
      <xdr:row>10</xdr:row>
      <xdr:rowOff>120799</xdr:rowOff>
    </xdr:from>
    <xdr:to>
      <xdr:col>17</xdr:col>
      <xdr:colOff>172508</xdr:colOff>
      <xdr:row>12</xdr:row>
      <xdr:rowOff>57981</xdr:rowOff>
    </xdr:to>
    <xdr:sp macro="" textlink="Analysis!V1">
      <xdr:nvSpPr>
        <xdr:cNvPr id="36" name="TextBox 35">
          <a:extLst>
            <a:ext uri="{FF2B5EF4-FFF2-40B4-BE49-F238E27FC236}">
              <a16:creationId xmlns:a16="http://schemas.microsoft.com/office/drawing/2014/main" id="{00000000-0008-0000-0300-000024000000}"/>
            </a:ext>
          </a:extLst>
        </xdr:cNvPr>
        <xdr:cNvSpPr txBox="1"/>
      </xdr:nvSpPr>
      <xdr:spPr>
        <a:xfrm>
          <a:off x="9750123" y="1919966"/>
          <a:ext cx="857552" cy="297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BD5FFF-0A24-43E0-9D07-3B6168A24EAE}" type="TxLink">
            <a:rPr lang="en-US" sz="1200" b="1" i="0" u="none" strike="noStrike">
              <a:solidFill>
                <a:schemeClr val="bg1"/>
              </a:solidFill>
              <a:latin typeface="Calibri"/>
              <a:ea typeface="Calibri"/>
              <a:cs typeface="Calibri"/>
            </a:rPr>
            <a:pPr marL="0" indent="0"/>
            <a:t>Product36</a:t>
          </a:fld>
          <a:endParaRPr lang="en-US" sz="1200" b="1" i="0" u="none" strike="noStrike">
            <a:solidFill>
              <a:schemeClr val="bg1"/>
            </a:solidFill>
            <a:latin typeface="Calibri"/>
            <a:ea typeface="Calibri"/>
            <a:cs typeface="Calibri"/>
          </a:endParaRPr>
        </a:p>
      </xdr:txBody>
    </xdr:sp>
    <xdr:clientData/>
  </xdr:twoCellAnchor>
  <xdr:twoCellAnchor>
    <xdr:from>
      <xdr:col>15</xdr:col>
      <xdr:colOff>491673</xdr:colOff>
      <xdr:row>8</xdr:row>
      <xdr:rowOff>29027</xdr:rowOff>
    </xdr:from>
    <xdr:to>
      <xdr:col>17</xdr:col>
      <xdr:colOff>121558</xdr:colOff>
      <xdr:row>10</xdr:row>
      <xdr:rowOff>166688</xdr:rowOff>
    </xdr:to>
    <xdr:sp macro="" textlink="">
      <xdr:nvSpPr>
        <xdr:cNvPr id="37" name="TextBox 36">
          <a:extLst>
            <a:ext uri="{FF2B5EF4-FFF2-40B4-BE49-F238E27FC236}">
              <a16:creationId xmlns:a16="http://schemas.microsoft.com/office/drawing/2014/main" id="{00000000-0008-0000-0300-000025000000}"/>
            </a:ext>
          </a:extLst>
        </xdr:cNvPr>
        <xdr:cNvSpPr txBox="1"/>
      </xdr:nvSpPr>
      <xdr:spPr>
        <a:xfrm>
          <a:off x="9659486" y="1489527"/>
          <a:ext cx="852260" cy="502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2"/>
              </a:solidFill>
            </a:rPr>
            <a:t>TOP</a:t>
          </a:r>
          <a:r>
            <a:rPr lang="en-US" sz="1100" b="1" baseline="0">
              <a:solidFill>
                <a:schemeClr val="accent2"/>
              </a:solidFill>
            </a:rPr>
            <a:t> PRODUCT</a:t>
          </a:r>
          <a:endParaRPr lang="en-US" sz="1100" b="1">
            <a:solidFill>
              <a:schemeClr val="accent2"/>
            </a:solidFill>
          </a:endParaRPr>
        </a:p>
      </xdr:txBody>
    </xdr:sp>
    <xdr:clientData/>
  </xdr:twoCellAnchor>
  <xdr:twoCellAnchor>
    <xdr:from>
      <xdr:col>13</xdr:col>
      <xdr:colOff>100542</xdr:colOff>
      <xdr:row>30</xdr:row>
      <xdr:rowOff>112333</xdr:rowOff>
    </xdr:from>
    <xdr:to>
      <xdr:col>15</xdr:col>
      <xdr:colOff>169334</xdr:colOff>
      <xdr:row>32</xdr:row>
      <xdr:rowOff>10583</xdr:rowOff>
    </xdr:to>
    <xdr:sp macro="" textlink="">
      <xdr:nvSpPr>
        <xdr:cNvPr id="39" name="TextBox 38">
          <a:extLst>
            <a:ext uri="{FF2B5EF4-FFF2-40B4-BE49-F238E27FC236}">
              <a16:creationId xmlns:a16="http://schemas.microsoft.com/office/drawing/2014/main" id="{00000000-0008-0000-0300-000027000000}"/>
            </a:ext>
          </a:extLst>
        </xdr:cNvPr>
        <xdr:cNvSpPr txBox="1"/>
      </xdr:nvSpPr>
      <xdr:spPr>
        <a:xfrm>
          <a:off x="8080375" y="5509833"/>
          <a:ext cx="1296459" cy="25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PAYMENT</a:t>
          </a:r>
          <a:r>
            <a:rPr lang="en-US" sz="1200" b="1" baseline="0">
              <a:solidFill>
                <a:schemeClr val="bg1"/>
              </a:solidFill>
            </a:rPr>
            <a:t> MODE</a:t>
          </a:r>
          <a:endParaRPr lang="en-US" sz="1200" b="1">
            <a:solidFill>
              <a:schemeClr val="bg1"/>
            </a:solidFill>
          </a:endParaRPr>
        </a:p>
      </xdr:txBody>
    </xdr:sp>
    <xdr:clientData/>
  </xdr:twoCellAnchor>
  <xdr:twoCellAnchor>
    <xdr:from>
      <xdr:col>4</xdr:col>
      <xdr:colOff>80284</xdr:colOff>
      <xdr:row>30</xdr:row>
      <xdr:rowOff>92755</xdr:rowOff>
    </xdr:from>
    <xdr:to>
      <xdr:col>5</xdr:col>
      <xdr:colOff>321355</xdr:colOff>
      <xdr:row>32</xdr:row>
      <xdr:rowOff>31070</xdr:rowOff>
    </xdr:to>
    <xdr:sp macro="" textlink="">
      <xdr:nvSpPr>
        <xdr:cNvPr id="40" name="TextBox 39">
          <a:extLst>
            <a:ext uri="{FF2B5EF4-FFF2-40B4-BE49-F238E27FC236}">
              <a16:creationId xmlns:a16="http://schemas.microsoft.com/office/drawing/2014/main" id="{00000000-0008-0000-0300-000028000000}"/>
            </a:ext>
          </a:extLst>
        </xdr:cNvPr>
        <xdr:cNvSpPr txBox="1"/>
      </xdr:nvSpPr>
      <xdr:spPr>
        <a:xfrm>
          <a:off x="2535617" y="5490255"/>
          <a:ext cx="854905" cy="298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DAILY</a:t>
          </a:r>
        </a:p>
      </xdr:txBody>
    </xdr:sp>
    <xdr:clientData/>
  </xdr:twoCellAnchor>
  <xdr:twoCellAnchor>
    <xdr:from>
      <xdr:col>13</xdr:col>
      <xdr:colOff>383495</xdr:colOff>
      <xdr:row>13</xdr:row>
      <xdr:rowOff>25550</xdr:rowOff>
    </xdr:from>
    <xdr:to>
      <xdr:col>15</xdr:col>
      <xdr:colOff>95250</xdr:colOff>
      <xdr:row>14</xdr:row>
      <xdr:rowOff>116418</xdr:rowOff>
    </xdr:to>
    <xdr:sp macro="" textlink="">
      <xdr:nvSpPr>
        <xdr:cNvPr id="41" name="TextBox 40">
          <a:extLst>
            <a:ext uri="{FF2B5EF4-FFF2-40B4-BE49-F238E27FC236}">
              <a16:creationId xmlns:a16="http://schemas.microsoft.com/office/drawing/2014/main" id="{00000000-0008-0000-0300-000029000000}"/>
            </a:ext>
          </a:extLst>
        </xdr:cNvPr>
        <xdr:cNvSpPr txBox="1"/>
      </xdr:nvSpPr>
      <xdr:spPr>
        <a:xfrm>
          <a:off x="8363328" y="2364467"/>
          <a:ext cx="939422" cy="270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SALES</a:t>
          </a:r>
          <a:r>
            <a:rPr lang="en-US" sz="1200" b="1" baseline="0"/>
            <a:t> </a:t>
          </a:r>
          <a:r>
            <a:rPr lang="en-US" sz="1200" b="1">
              <a:solidFill>
                <a:schemeClr val="bg1"/>
              </a:solidFill>
              <a:latin typeface="+mn-lt"/>
              <a:ea typeface="+mn-ea"/>
              <a:cs typeface="+mn-cs"/>
            </a:rPr>
            <a:t>TYPE</a:t>
          </a:r>
        </a:p>
      </xdr:txBody>
    </xdr:sp>
    <xdr:clientData/>
  </xdr:twoCellAnchor>
  <xdr:twoCellAnchor>
    <xdr:from>
      <xdr:col>9</xdr:col>
      <xdr:colOff>30542</xdr:colOff>
      <xdr:row>13</xdr:row>
      <xdr:rowOff>5970</xdr:rowOff>
    </xdr:from>
    <xdr:to>
      <xdr:col>10</xdr:col>
      <xdr:colOff>271614</xdr:colOff>
      <xdr:row>14</xdr:row>
      <xdr:rowOff>124202</xdr:rowOff>
    </xdr:to>
    <xdr:sp macro="" textlink="">
      <xdr:nvSpPr>
        <xdr:cNvPr id="42" name="TextBox 41">
          <a:extLst>
            <a:ext uri="{FF2B5EF4-FFF2-40B4-BE49-F238E27FC236}">
              <a16:creationId xmlns:a16="http://schemas.microsoft.com/office/drawing/2014/main" id="{00000000-0008-0000-0300-00002A000000}"/>
            </a:ext>
          </a:extLst>
        </xdr:cNvPr>
        <xdr:cNvSpPr txBox="1"/>
      </xdr:nvSpPr>
      <xdr:spPr>
        <a:xfrm>
          <a:off x="5555042" y="2344887"/>
          <a:ext cx="854905" cy="298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mn-lt"/>
              <a:ea typeface="+mn-ea"/>
              <a:cs typeface="+mn-cs"/>
            </a:rPr>
            <a:t>PRODUCT</a:t>
          </a:r>
        </a:p>
      </xdr:txBody>
    </xdr:sp>
    <xdr:clientData/>
  </xdr:twoCellAnchor>
  <xdr:twoCellAnchor>
    <xdr:from>
      <xdr:col>16</xdr:col>
      <xdr:colOff>313118</xdr:colOff>
      <xdr:row>22</xdr:row>
      <xdr:rowOff>98047</xdr:rowOff>
    </xdr:from>
    <xdr:to>
      <xdr:col>18</xdr:col>
      <xdr:colOff>137583</xdr:colOff>
      <xdr:row>24</xdr:row>
      <xdr:rowOff>10584</xdr:rowOff>
    </xdr:to>
    <xdr:sp macro="" textlink="">
      <xdr:nvSpPr>
        <xdr:cNvPr id="43" name="TextBox 42">
          <a:extLst>
            <a:ext uri="{FF2B5EF4-FFF2-40B4-BE49-F238E27FC236}">
              <a16:creationId xmlns:a16="http://schemas.microsoft.com/office/drawing/2014/main" id="{00000000-0008-0000-0300-00002B000000}"/>
            </a:ext>
          </a:extLst>
        </xdr:cNvPr>
        <xdr:cNvSpPr txBox="1"/>
      </xdr:nvSpPr>
      <xdr:spPr>
        <a:xfrm>
          <a:off x="10134451" y="4056214"/>
          <a:ext cx="1052132" cy="272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latin typeface="+mn-lt"/>
              <a:ea typeface="+mn-ea"/>
              <a:cs typeface="+mn-cs"/>
            </a:rPr>
            <a:t>CATEGORY</a:t>
          </a:r>
        </a:p>
      </xdr:txBody>
    </xdr:sp>
    <xdr:clientData/>
  </xdr:twoCellAnchor>
  <xdr:twoCellAnchor>
    <xdr:from>
      <xdr:col>18</xdr:col>
      <xdr:colOff>63048</xdr:colOff>
      <xdr:row>8</xdr:row>
      <xdr:rowOff>36965</xdr:rowOff>
    </xdr:from>
    <xdr:to>
      <xdr:col>19</xdr:col>
      <xdr:colOff>304119</xdr:colOff>
      <xdr:row>10</xdr:row>
      <xdr:rowOff>134938</xdr:rowOff>
    </xdr:to>
    <xdr:sp macro="" textlink="">
      <xdr:nvSpPr>
        <xdr:cNvPr id="44" name="TextBox 43">
          <a:extLst>
            <a:ext uri="{FF2B5EF4-FFF2-40B4-BE49-F238E27FC236}">
              <a16:creationId xmlns:a16="http://schemas.microsoft.com/office/drawing/2014/main" id="{00000000-0008-0000-0300-00002C000000}"/>
            </a:ext>
          </a:extLst>
        </xdr:cNvPr>
        <xdr:cNvSpPr txBox="1"/>
      </xdr:nvSpPr>
      <xdr:spPr>
        <a:xfrm>
          <a:off x="11064423" y="1497465"/>
          <a:ext cx="852259" cy="463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2"/>
              </a:solidFill>
            </a:rPr>
            <a:t>TOP</a:t>
          </a:r>
          <a:r>
            <a:rPr lang="en-US" sz="1100" b="1" baseline="0">
              <a:solidFill>
                <a:schemeClr val="accent2"/>
              </a:solidFill>
            </a:rPr>
            <a:t> CATEGORY</a:t>
          </a:r>
          <a:endParaRPr lang="en-US" sz="1100" b="1">
            <a:solidFill>
              <a:schemeClr val="accent2"/>
            </a:solidFill>
          </a:endParaRPr>
        </a:p>
      </xdr:txBody>
    </xdr:sp>
    <xdr:clientData/>
  </xdr:twoCellAnchor>
  <xdr:twoCellAnchor editAs="oneCell">
    <xdr:from>
      <xdr:col>0</xdr:col>
      <xdr:colOff>370541</xdr:colOff>
      <xdr:row>35</xdr:row>
      <xdr:rowOff>10584</xdr:rowOff>
    </xdr:from>
    <xdr:to>
      <xdr:col>2</xdr:col>
      <xdr:colOff>243415</xdr:colOff>
      <xdr:row>41</xdr:row>
      <xdr:rowOff>1</xdr:rowOff>
    </xdr:to>
    <xdr:pic>
      <xdr:nvPicPr>
        <xdr:cNvPr id="50" name="Picture 49">
          <a:extLst>
            <a:ext uri="{FF2B5EF4-FFF2-40B4-BE49-F238E27FC236}">
              <a16:creationId xmlns:a16="http://schemas.microsoft.com/office/drawing/2014/main" id="{00000000-0008-0000-0300-00003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0541" y="6307667"/>
          <a:ext cx="1100541" cy="1068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412748</xdr:colOff>
      <xdr:row>30</xdr:row>
      <xdr:rowOff>84666</xdr:rowOff>
    </xdr:from>
    <xdr:to>
      <xdr:col>13</xdr:col>
      <xdr:colOff>158498</xdr:colOff>
      <xdr:row>32</xdr:row>
      <xdr:rowOff>74083</xdr:rowOff>
    </xdr:to>
    <xdr:pic>
      <xdr:nvPicPr>
        <xdr:cNvPr id="48" name="Picture 47">
          <a:extLst>
            <a:ext uri="{FF2B5EF4-FFF2-40B4-BE49-F238E27FC236}">
              <a16:creationId xmlns:a16="http://schemas.microsoft.com/office/drawing/2014/main" id="{00000000-0008-0000-0300-000030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78748" y="5482166"/>
          <a:ext cx="359583" cy="34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334283</xdr:colOff>
      <xdr:row>8</xdr:row>
      <xdr:rowOff>45130</xdr:rowOff>
    </xdr:from>
    <xdr:to>
      <xdr:col>13</xdr:col>
      <xdr:colOff>31750</xdr:colOff>
      <xdr:row>10</xdr:row>
      <xdr:rowOff>148166</xdr:rowOff>
    </xdr:to>
    <xdr:sp macro="" textlink="Analysis!E6">
      <xdr:nvSpPr>
        <xdr:cNvPr id="56" name="TextBox 55">
          <a:extLst>
            <a:ext uri="{FF2B5EF4-FFF2-40B4-BE49-F238E27FC236}">
              <a16:creationId xmlns:a16="http://schemas.microsoft.com/office/drawing/2014/main" id="{00000000-0008-0000-0300-000038000000}"/>
            </a:ext>
          </a:extLst>
        </xdr:cNvPr>
        <xdr:cNvSpPr txBox="1"/>
      </xdr:nvSpPr>
      <xdr:spPr>
        <a:xfrm>
          <a:off x="7086450" y="1484463"/>
          <a:ext cx="925133" cy="462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7A89953-BBB8-4CE5-A7AB-1F8A0AA92527}" type="TxLink">
            <a:rPr lang="en-US" sz="2400" b="1" i="0" u="none" strike="noStrike">
              <a:solidFill>
                <a:schemeClr val="bg1"/>
              </a:solidFill>
              <a:latin typeface="Calibri"/>
              <a:ea typeface="Calibri"/>
              <a:cs typeface="Calibri"/>
            </a:rPr>
            <a:pPr marL="0" indent="0"/>
            <a:t>100%</a:t>
          </a:fld>
          <a:endParaRPr lang="en-US" sz="2400" b="1" i="0" u="none" strike="noStrike">
            <a:solidFill>
              <a:schemeClr val="bg1"/>
            </a:solidFill>
            <a:latin typeface="Calibri"/>
            <a:ea typeface="Calibri"/>
            <a:cs typeface="Calibri"/>
          </a:endParaRPr>
        </a:p>
      </xdr:txBody>
    </xdr:sp>
    <xdr:clientData/>
  </xdr:twoCellAnchor>
  <xdr:twoCellAnchor>
    <xdr:from>
      <xdr:col>7</xdr:col>
      <xdr:colOff>264435</xdr:colOff>
      <xdr:row>8</xdr:row>
      <xdr:rowOff>45130</xdr:rowOff>
    </xdr:from>
    <xdr:to>
      <xdr:col>9</xdr:col>
      <xdr:colOff>285750</xdr:colOff>
      <xdr:row>10</xdr:row>
      <xdr:rowOff>133350</xdr:rowOff>
    </xdr:to>
    <xdr:sp macro="" textlink="Analysis!E5">
      <xdr:nvSpPr>
        <xdr:cNvPr id="57" name="TextBox 56">
          <a:extLst>
            <a:ext uri="{FF2B5EF4-FFF2-40B4-BE49-F238E27FC236}">
              <a16:creationId xmlns:a16="http://schemas.microsoft.com/office/drawing/2014/main" id="{00000000-0008-0000-0300-000039000000}"/>
            </a:ext>
          </a:extLst>
        </xdr:cNvPr>
        <xdr:cNvSpPr txBox="1"/>
      </xdr:nvSpPr>
      <xdr:spPr>
        <a:xfrm>
          <a:off x="4561268" y="1484463"/>
          <a:ext cx="1248982" cy="448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468E2D-D0FD-41CD-BAD0-FF20933C7286}" type="TxLink">
            <a:rPr lang="en-US" sz="2400" b="1" i="0" u="none" strike="noStrike">
              <a:solidFill>
                <a:schemeClr val="bg1"/>
              </a:solidFill>
              <a:latin typeface="Calibri"/>
              <a:ea typeface="Calibri"/>
              <a:cs typeface="Calibri"/>
            </a:rPr>
            <a:pPr marL="0" indent="0"/>
            <a:t>$34,221 </a:t>
          </a:fld>
          <a:endParaRPr lang="en-US" sz="2400" b="1" i="0" u="none" strike="noStrike">
            <a:solidFill>
              <a:schemeClr val="bg1"/>
            </a:solidFill>
            <a:latin typeface="Calibri"/>
            <a:ea typeface="Calibri"/>
            <a:cs typeface="Calibri"/>
          </a:endParaRPr>
        </a:p>
      </xdr:txBody>
    </xdr:sp>
    <xdr:clientData/>
  </xdr:twoCellAnchor>
  <xdr:twoCellAnchor>
    <xdr:from>
      <xdr:col>3</xdr:col>
      <xdr:colOff>258084</xdr:colOff>
      <xdr:row>8</xdr:row>
      <xdr:rowOff>45130</xdr:rowOff>
    </xdr:from>
    <xdr:to>
      <xdr:col>5</xdr:col>
      <xdr:colOff>359833</xdr:colOff>
      <xdr:row>10</xdr:row>
      <xdr:rowOff>86783</xdr:rowOff>
    </xdr:to>
    <xdr:sp macro="" textlink="Analysis!E4">
      <xdr:nvSpPr>
        <xdr:cNvPr id="58" name="TextBox 57">
          <a:extLst>
            <a:ext uri="{FF2B5EF4-FFF2-40B4-BE49-F238E27FC236}">
              <a16:creationId xmlns:a16="http://schemas.microsoft.com/office/drawing/2014/main" id="{00000000-0008-0000-0300-00003A000000}"/>
            </a:ext>
          </a:extLst>
        </xdr:cNvPr>
        <xdr:cNvSpPr txBox="1"/>
      </xdr:nvSpPr>
      <xdr:spPr>
        <a:xfrm>
          <a:off x="2099584" y="1484463"/>
          <a:ext cx="1329416" cy="40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479AC3-F6FF-4B04-8335-546B57B4F510}" type="TxLink">
            <a:rPr lang="en-US" sz="2400" b="1" i="0" u="none" strike="noStrike">
              <a:solidFill>
                <a:schemeClr val="bg1"/>
              </a:solidFill>
              <a:latin typeface="Calibri"/>
              <a:ea typeface="Calibri"/>
              <a:cs typeface="Calibri"/>
            </a:rPr>
            <a:pPr/>
            <a:t>$40,152 </a:t>
          </a:fld>
          <a:endParaRPr lang="en-US" sz="2400" b="1">
            <a:solidFill>
              <a:schemeClr val="bg1"/>
            </a:solidFill>
          </a:endParaRPr>
        </a:p>
      </xdr:txBody>
    </xdr:sp>
    <xdr:clientData/>
  </xdr:twoCellAnchor>
  <xdr:twoCellAnchor>
    <xdr:from>
      <xdr:col>16</xdr:col>
      <xdr:colOff>331714</xdr:colOff>
      <xdr:row>12</xdr:row>
      <xdr:rowOff>67506</xdr:rowOff>
    </xdr:from>
    <xdr:to>
      <xdr:col>17</xdr:col>
      <xdr:colOff>78317</xdr:colOff>
      <xdr:row>13</xdr:row>
      <xdr:rowOff>173567</xdr:rowOff>
    </xdr:to>
    <xdr:sp macro="" textlink="Analysis!W1">
      <xdr:nvSpPr>
        <xdr:cNvPr id="59" name="TextBox 58">
          <a:extLst>
            <a:ext uri="{FF2B5EF4-FFF2-40B4-BE49-F238E27FC236}">
              <a16:creationId xmlns:a16="http://schemas.microsoft.com/office/drawing/2014/main" id="{00000000-0008-0000-0300-00003B000000}"/>
            </a:ext>
          </a:extLst>
        </xdr:cNvPr>
        <xdr:cNvSpPr txBox="1"/>
      </xdr:nvSpPr>
      <xdr:spPr>
        <a:xfrm>
          <a:off x="10153047" y="2226506"/>
          <a:ext cx="360437" cy="285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92DD435-0C90-493C-A5CA-C9154EB82C82}" type="TxLink">
            <a:rPr lang="en-US" sz="1200" b="1" i="0" u="none" strike="noStrike">
              <a:solidFill>
                <a:schemeClr val="bg1"/>
              </a:solidFill>
              <a:latin typeface="Calibri"/>
              <a:ea typeface="Calibri"/>
              <a:cs typeface="Calibri"/>
            </a:rPr>
            <a:pPr marL="0" indent="0"/>
            <a:t>Lt</a:t>
          </a:fld>
          <a:endParaRPr lang="en-US" sz="1200" b="1" i="0" u="none" strike="noStrike">
            <a:solidFill>
              <a:schemeClr val="bg1"/>
            </a:solidFill>
            <a:latin typeface="Calibri"/>
            <a:ea typeface="Calibri"/>
            <a:cs typeface="Calibri"/>
          </a:endParaRPr>
        </a:p>
      </xdr:txBody>
    </xdr:sp>
    <xdr:clientData/>
  </xdr:twoCellAnchor>
  <xdr:twoCellAnchor>
    <xdr:from>
      <xdr:col>15</xdr:col>
      <xdr:colOff>482451</xdr:colOff>
      <xdr:row>13</xdr:row>
      <xdr:rowOff>156255</xdr:rowOff>
    </xdr:from>
    <xdr:to>
      <xdr:col>17</xdr:col>
      <xdr:colOff>109689</xdr:colOff>
      <xdr:row>15</xdr:row>
      <xdr:rowOff>97215</xdr:rowOff>
    </xdr:to>
    <xdr:sp macro="" textlink="Analysis!X1">
      <xdr:nvSpPr>
        <xdr:cNvPr id="61" name="TextBox 60">
          <a:extLst>
            <a:ext uri="{FF2B5EF4-FFF2-40B4-BE49-F238E27FC236}">
              <a16:creationId xmlns:a16="http://schemas.microsoft.com/office/drawing/2014/main" id="{00000000-0008-0000-0300-00003D000000}"/>
            </a:ext>
          </a:extLst>
        </xdr:cNvPr>
        <xdr:cNvSpPr txBox="1"/>
      </xdr:nvSpPr>
      <xdr:spPr>
        <a:xfrm>
          <a:off x="9689951" y="2495172"/>
          <a:ext cx="854905" cy="30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8EC7DA-E5C0-4521-B09C-07C7F7B981BB}" type="TxLink">
            <a:rPr lang="en-US" sz="1600" b="1" i="0" u="none" strike="noStrike">
              <a:solidFill>
                <a:schemeClr val="bg1"/>
              </a:solidFill>
              <a:latin typeface="Calibri"/>
              <a:ea typeface="Calibri"/>
              <a:cs typeface="Calibri"/>
            </a:rPr>
            <a:pPr marL="0" indent="0"/>
            <a:t> $4,409 </a:t>
          </a:fld>
          <a:endParaRPr lang="en-US" sz="1600" b="1" i="0" u="none" strike="noStrike">
            <a:solidFill>
              <a:schemeClr val="bg1"/>
            </a:solidFill>
            <a:latin typeface="Calibri"/>
            <a:ea typeface="Calibri"/>
            <a:cs typeface="Calibri"/>
          </a:endParaRPr>
        </a:p>
      </xdr:txBody>
    </xdr:sp>
    <xdr:clientData/>
  </xdr:twoCellAnchor>
  <xdr:twoCellAnchor>
    <xdr:from>
      <xdr:col>18</xdr:col>
      <xdr:colOff>27368</xdr:colOff>
      <xdr:row>11</xdr:row>
      <xdr:rowOff>177423</xdr:rowOff>
    </xdr:from>
    <xdr:to>
      <xdr:col>19</xdr:col>
      <xdr:colOff>338667</xdr:colOff>
      <xdr:row>13</xdr:row>
      <xdr:rowOff>116417</xdr:rowOff>
    </xdr:to>
    <xdr:sp macro="" textlink="Analysis!AI1">
      <xdr:nvSpPr>
        <xdr:cNvPr id="62" name="TextBox 61">
          <a:extLst>
            <a:ext uri="{FF2B5EF4-FFF2-40B4-BE49-F238E27FC236}">
              <a16:creationId xmlns:a16="http://schemas.microsoft.com/office/drawing/2014/main" id="{00000000-0008-0000-0300-00003E000000}"/>
            </a:ext>
          </a:extLst>
        </xdr:cNvPr>
        <xdr:cNvSpPr txBox="1"/>
      </xdr:nvSpPr>
      <xdr:spPr>
        <a:xfrm>
          <a:off x="11076368" y="2156506"/>
          <a:ext cx="925132" cy="298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985987-4D53-4E51-B246-FDE383EA0451}" type="TxLink">
            <a:rPr lang="en-US" sz="1200" b="1" i="0" u="none" strike="noStrike">
              <a:solidFill>
                <a:schemeClr val="bg1"/>
              </a:solidFill>
              <a:latin typeface="Calibri"/>
              <a:ea typeface="Calibri"/>
              <a:cs typeface="Calibri"/>
            </a:rPr>
            <a:pPr/>
            <a:t>Category04</a:t>
          </a:fld>
          <a:endParaRPr lang="en-US" sz="1200" b="1">
            <a:solidFill>
              <a:schemeClr val="bg1"/>
            </a:solidFill>
          </a:endParaRPr>
        </a:p>
      </xdr:txBody>
    </xdr:sp>
    <xdr:clientData/>
  </xdr:twoCellAnchor>
  <xdr:twoCellAnchor>
    <xdr:from>
      <xdr:col>18</xdr:col>
      <xdr:colOff>18903</xdr:colOff>
      <xdr:row>13</xdr:row>
      <xdr:rowOff>168956</xdr:rowOff>
    </xdr:from>
    <xdr:to>
      <xdr:col>19</xdr:col>
      <xdr:colOff>317501</xdr:colOff>
      <xdr:row>15</xdr:row>
      <xdr:rowOff>116417</xdr:rowOff>
    </xdr:to>
    <xdr:sp macro="" textlink="Analysis!AJ1">
      <xdr:nvSpPr>
        <xdr:cNvPr id="65" name="TextBox 64">
          <a:extLst>
            <a:ext uri="{FF2B5EF4-FFF2-40B4-BE49-F238E27FC236}">
              <a16:creationId xmlns:a16="http://schemas.microsoft.com/office/drawing/2014/main" id="{00000000-0008-0000-0300-000041000000}"/>
            </a:ext>
          </a:extLst>
        </xdr:cNvPr>
        <xdr:cNvSpPr txBox="1"/>
      </xdr:nvSpPr>
      <xdr:spPr>
        <a:xfrm>
          <a:off x="11067903" y="2507873"/>
          <a:ext cx="912431" cy="307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F978E94-CD6F-4544-92D9-5D94CBE0CEFD}" type="TxLink">
            <a:rPr lang="en-US" sz="1600" b="1" i="0" u="none" strike="noStrike">
              <a:solidFill>
                <a:schemeClr val="bg1"/>
              </a:solidFill>
              <a:latin typeface="Calibri"/>
              <a:ea typeface="Calibri"/>
              <a:cs typeface="Calibri"/>
            </a:rPr>
            <a:pPr marL="0" indent="0"/>
            <a:t> $12,089 </a:t>
          </a:fld>
          <a:endParaRPr lang="en-US" sz="1600" b="1" i="0" u="none" strike="noStrike">
            <a:solidFill>
              <a:schemeClr val="bg1"/>
            </a:solidFill>
            <a:latin typeface="Calibri"/>
            <a:ea typeface="Calibri"/>
            <a:cs typeface="Calibri"/>
          </a:endParaRPr>
        </a:p>
      </xdr:txBody>
    </xdr:sp>
    <xdr:clientData/>
  </xdr:twoCellAnchor>
  <xdr:twoCellAnchor editAs="oneCell">
    <xdr:from>
      <xdr:col>11</xdr:col>
      <xdr:colOff>543826</xdr:colOff>
      <xdr:row>1</xdr:row>
      <xdr:rowOff>52917</xdr:rowOff>
    </xdr:from>
    <xdr:to>
      <xdr:col>16</xdr:col>
      <xdr:colOff>222249</xdr:colOff>
      <xdr:row>5</xdr:row>
      <xdr:rowOff>95250</xdr:rowOff>
    </xdr:to>
    <mc:AlternateContent xmlns:mc="http://schemas.openxmlformats.org/markup-compatibility/2006" xmlns:a14="http://schemas.microsoft.com/office/drawing/2010/main">
      <mc:Choice Requires="a14">
        <xdr:graphicFrame macro="">
          <xdr:nvGraphicFramePr>
            <xdr:cNvPr id="66" name="SALE TYPE">
              <a:extLst>
                <a:ext uri="{FF2B5EF4-FFF2-40B4-BE49-F238E27FC236}">
                  <a16:creationId xmlns:a16="http://schemas.microsoft.com/office/drawing/2014/main" id="{00000000-0008-0000-0300-000042000000}"/>
                </a:ext>
              </a:extLst>
            </xdr:cNvPr>
            <xdr:cNvGraphicFramePr/>
          </xdr:nvGraphicFramePr>
          <xdr:xfrm>
            <a:off x="0" y="0"/>
            <a:ext cx="0" cy="0"/>
          </xdr:xfrm>
          <a:graphic>
            <a:graphicData uri="http://schemas.microsoft.com/office/drawing/2010/slicer">
              <sle:slicer xmlns:sle="http://schemas.microsoft.com/office/drawing/2010/slicer" name="SALE TYPE"/>
            </a:graphicData>
          </a:graphic>
        </xdr:graphicFrame>
      </mc:Choice>
      <mc:Fallback xmlns="">
        <xdr:sp macro="" textlink="">
          <xdr:nvSpPr>
            <xdr:cNvPr id="0" name=""/>
            <xdr:cNvSpPr>
              <a:spLocks noTextEdit="1"/>
            </xdr:cNvSpPr>
          </xdr:nvSpPr>
          <xdr:spPr>
            <a:xfrm>
              <a:off x="7295994" y="232834"/>
              <a:ext cx="2588838" cy="730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345458</xdr:colOff>
      <xdr:row>1</xdr:row>
      <xdr:rowOff>48867</xdr:rowOff>
    </xdr:from>
    <xdr:to>
      <xdr:col>11</xdr:col>
      <xdr:colOff>412750</xdr:colOff>
      <xdr:row>5</xdr:row>
      <xdr:rowOff>63500</xdr:rowOff>
    </xdr:to>
    <mc:AlternateContent xmlns:mc="http://schemas.openxmlformats.org/markup-compatibility/2006" xmlns:a14="http://schemas.microsoft.com/office/drawing/2010/main">
      <mc:Choice Requires="a14">
        <xdr:graphicFrame macro="">
          <xdr:nvGraphicFramePr>
            <xdr:cNvPr id="67" name="PAYMENT MODE">
              <a:extLst>
                <a:ext uri="{FF2B5EF4-FFF2-40B4-BE49-F238E27FC236}">
                  <a16:creationId xmlns:a16="http://schemas.microsoft.com/office/drawing/2014/main" id="{00000000-0008-0000-0300-000043000000}"/>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5256125" y="228784"/>
              <a:ext cx="1908792" cy="734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243417</xdr:colOff>
      <xdr:row>15</xdr:row>
      <xdr:rowOff>42333</xdr:rowOff>
    </xdr:from>
    <xdr:to>
      <xdr:col>2</xdr:col>
      <xdr:colOff>296333</xdr:colOff>
      <xdr:row>33</xdr:row>
      <xdr:rowOff>42333</xdr:rowOff>
    </xdr:to>
    <mc:AlternateContent xmlns:mc="http://schemas.openxmlformats.org/markup-compatibility/2006" xmlns:a14="http://schemas.microsoft.com/office/drawing/2010/main">
      <mc:Choice Requires="a14">
        <xdr:graphicFrame macro="">
          <xdr:nvGraphicFramePr>
            <xdr:cNvPr id="68" name="Month">
              <a:extLst>
                <a:ext uri="{FF2B5EF4-FFF2-40B4-BE49-F238E27FC236}">
                  <a16:creationId xmlns:a16="http://schemas.microsoft.com/office/drawing/2014/main" id="{00000000-0008-0000-0300-000044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3417" y="2741083"/>
              <a:ext cx="1280583" cy="3238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392436</xdr:colOff>
      <xdr:row>6</xdr:row>
      <xdr:rowOff>165283</xdr:rowOff>
    </xdr:from>
    <xdr:to>
      <xdr:col>2</xdr:col>
      <xdr:colOff>190500</xdr:colOff>
      <xdr:row>12</xdr:row>
      <xdr:rowOff>105833</xdr:rowOff>
    </xdr:to>
    <mc:AlternateContent xmlns:mc="http://schemas.openxmlformats.org/markup-compatibility/2006" xmlns:a14="http://schemas.microsoft.com/office/drawing/2010/main">
      <mc:Choice Requires="a14">
        <xdr:graphicFrame macro="">
          <xdr:nvGraphicFramePr>
            <xdr:cNvPr id="69" name="Year">
              <a:extLst>
                <a:ext uri="{FF2B5EF4-FFF2-40B4-BE49-F238E27FC236}">
                  <a16:creationId xmlns:a16="http://schemas.microsoft.com/office/drawing/2014/main" id="{00000000-0008-0000-0300-00004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92436" y="1244783"/>
              <a:ext cx="1025731" cy="1020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95250</xdr:colOff>
      <xdr:row>32</xdr:row>
      <xdr:rowOff>126661</xdr:rowOff>
    </xdr:from>
    <xdr:to>
      <xdr:col>12</xdr:col>
      <xdr:colOff>137583</xdr:colOff>
      <xdr:row>40</xdr:row>
      <xdr:rowOff>169333</xdr:rowOff>
    </xdr:to>
    <xdr:graphicFrame macro="">
      <xdr:nvGraphicFramePr>
        <xdr:cNvPr id="70" name="Chart 69">
          <a:extLst>
            <a:ext uri="{FF2B5EF4-FFF2-40B4-BE49-F238E27FC236}">
              <a16:creationId xmlns:a16="http://schemas.microsoft.com/office/drawing/2014/main" id="{00000000-0008-0000-0300-00004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89897</xdr:colOff>
      <xdr:row>14</xdr:row>
      <xdr:rowOff>175189</xdr:rowOff>
    </xdr:from>
    <xdr:to>
      <xdr:col>7</xdr:col>
      <xdr:colOff>423334</xdr:colOff>
      <xdr:row>29</xdr:row>
      <xdr:rowOff>21167</xdr:rowOff>
    </xdr:to>
    <xdr:graphicFrame macro="">
      <xdr:nvGraphicFramePr>
        <xdr:cNvPr id="71" name="Chart 70">
          <a:extLst>
            <a:ext uri="{FF2B5EF4-FFF2-40B4-BE49-F238E27FC236}">
              <a16:creationId xmlns:a16="http://schemas.microsoft.com/office/drawing/2014/main" id="{00000000-0008-0000-0300-00004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455082</xdr:colOff>
      <xdr:row>14</xdr:row>
      <xdr:rowOff>169331</xdr:rowOff>
    </xdr:from>
    <xdr:to>
      <xdr:col>12</xdr:col>
      <xdr:colOff>236726</xdr:colOff>
      <xdr:row>28</xdr:row>
      <xdr:rowOff>169333</xdr:rowOff>
    </xdr:to>
    <xdr:graphicFrame macro="">
      <xdr:nvGraphicFramePr>
        <xdr:cNvPr id="72" name="Chart 71">
          <a:extLst>
            <a:ext uri="{FF2B5EF4-FFF2-40B4-BE49-F238E27FC236}">
              <a16:creationId xmlns:a16="http://schemas.microsoft.com/office/drawing/2014/main" id="{00000000-0008-0000-0300-00004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349249</xdr:colOff>
      <xdr:row>24</xdr:row>
      <xdr:rowOff>112613</xdr:rowOff>
    </xdr:from>
    <xdr:to>
      <xdr:col>19</xdr:col>
      <xdr:colOff>391583</xdr:colOff>
      <xdr:row>40</xdr:row>
      <xdr:rowOff>0</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00000000-0008-0000-0300-00004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493249" y="4532213"/>
              <a:ext cx="2480734" cy="283378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529157</xdr:colOff>
      <xdr:row>14</xdr:row>
      <xdr:rowOff>159159</xdr:rowOff>
    </xdr:from>
    <xdr:to>
      <xdr:col>15</xdr:col>
      <xdr:colOff>95250</xdr:colOff>
      <xdr:row>28</xdr:row>
      <xdr:rowOff>169333</xdr:rowOff>
    </xdr:to>
    <xdr:graphicFrame macro="">
      <xdr:nvGraphicFramePr>
        <xdr:cNvPr id="74" name="Chart 73">
          <a:extLst>
            <a:ext uri="{FF2B5EF4-FFF2-40B4-BE49-F238E27FC236}">
              <a16:creationId xmlns:a16="http://schemas.microsoft.com/office/drawing/2014/main" id="{00000000-0008-0000-0300-00004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359833</xdr:colOff>
      <xdr:row>32</xdr:row>
      <xdr:rowOff>95125</xdr:rowOff>
    </xdr:from>
    <xdr:to>
      <xdr:col>15</xdr:col>
      <xdr:colOff>137583</xdr:colOff>
      <xdr:row>40</xdr:row>
      <xdr:rowOff>148167</xdr:rowOff>
    </xdr:to>
    <xdr:graphicFrame macro="">
      <xdr:nvGraphicFramePr>
        <xdr:cNvPr id="75" name="Chart 74">
          <a:extLst>
            <a:ext uri="{FF2B5EF4-FFF2-40B4-BE49-F238E27FC236}">
              <a16:creationId xmlns:a16="http://schemas.microsoft.com/office/drawing/2014/main" id="{00000000-0008-0000-03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oneCell">
        <xdr:from>
          <xdr:col>4</xdr:col>
          <xdr:colOff>596900</xdr:colOff>
          <xdr:row>13</xdr:row>
          <xdr:rowOff>38100</xdr:rowOff>
        </xdr:from>
        <xdr:to>
          <xdr:col>5</xdr:col>
          <xdr:colOff>374650</xdr:colOff>
          <xdr:row>14</xdr:row>
          <xdr:rowOff>76200</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3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Check Box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508000</xdr:colOff>
          <xdr:row>13</xdr:row>
          <xdr:rowOff>38100</xdr:rowOff>
        </xdr:from>
        <xdr:to>
          <xdr:col>6</xdr:col>
          <xdr:colOff>292100</xdr:colOff>
          <xdr:row>14</xdr:row>
          <xdr:rowOff>69850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3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Check Box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438150</xdr:colOff>
          <xdr:row>13</xdr:row>
          <xdr:rowOff>38100</xdr:rowOff>
        </xdr:from>
        <xdr:to>
          <xdr:col>7</xdr:col>
          <xdr:colOff>215900</xdr:colOff>
          <xdr:row>14</xdr:row>
          <xdr:rowOff>76200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3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Check Box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177800</xdr:colOff>
          <xdr:row>15</xdr:row>
          <xdr:rowOff>114300</xdr:rowOff>
        </xdr:from>
        <xdr:to>
          <xdr:col>8</xdr:col>
          <xdr:colOff>393700</xdr:colOff>
          <xdr:row>27</xdr:row>
          <xdr:rowOff>171450</xdr:rowOff>
        </xdr:to>
        <xdr:sp macro="" textlink="">
          <xdr:nvSpPr>
            <xdr:cNvPr id="2063" name="Scroll Bar 15" hidden="1">
              <a:extLst>
                <a:ext uri="{63B3BB69-23CF-44E3-9099-C40C66FF867C}">
                  <a14:compatExt spid="_x0000_s2063"/>
                </a:ext>
                <a:ext uri="{FF2B5EF4-FFF2-40B4-BE49-F238E27FC236}">
                  <a16:creationId xmlns:a16="http://schemas.microsoft.com/office/drawing/2014/main" id="{00000000-0008-0000-0300-00000F0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5</xdr:col>
      <xdr:colOff>275166</xdr:colOff>
      <xdr:row>7</xdr:row>
      <xdr:rowOff>42333</xdr:rowOff>
    </xdr:from>
    <xdr:to>
      <xdr:col>6</xdr:col>
      <xdr:colOff>467248</xdr:colOff>
      <xdr:row>10</xdr:row>
      <xdr:rowOff>116416</xdr:rowOff>
    </xdr:to>
    <xdr:pic>
      <xdr:nvPicPr>
        <xdr:cNvPr id="77" name="Picture 76">
          <a:extLst>
            <a:ext uri="{FF2B5EF4-FFF2-40B4-BE49-F238E27FC236}">
              <a16:creationId xmlns:a16="http://schemas.microsoft.com/office/drawing/2014/main" id="{00000000-0008-0000-0300-00004D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344333" y="1301750"/>
          <a:ext cx="805915" cy="613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423334</xdr:colOff>
      <xdr:row>7</xdr:row>
      <xdr:rowOff>1</xdr:rowOff>
    </xdr:from>
    <xdr:to>
      <xdr:col>10</xdr:col>
      <xdr:colOff>550334</xdr:colOff>
      <xdr:row>10</xdr:row>
      <xdr:rowOff>118121</xdr:rowOff>
    </xdr:to>
    <xdr:pic>
      <xdr:nvPicPr>
        <xdr:cNvPr id="78" name="Picture 77">
          <a:extLst>
            <a:ext uri="{FF2B5EF4-FFF2-40B4-BE49-F238E27FC236}">
              <a16:creationId xmlns:a16="http://schemas.microsoft.com/office/drawing/2014/main" id="{00000000-0008-0000-0300-00004E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947834" y="1259418"/>
          <a:ext cx="740833" cy="657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201083</xdr:colOff>
      <xdr:row>15</xdr:row>
      <xdr:rowOff>128826</xdr:rowOff>
    </xdr:from>
    <xdr:to>
      <xdr:col>19</xdr:col>
      <xdr:colOff>130194</xdr:colOff>
      <xdr:row>18</xdr:row>
      <xdr:rowOff>116418</xdr:rowOff>
    </xdr:to>
    <xdr:pic>
      <xdr:nvPicPr>
        <xdr:cNvPr id="76" name="Picture 75">
          <a:extLst>
            <a:ext uri="{FF2B5EF4-FFF2-40B4-BE49-F238E27FC236}">
              <a16:creationId xmlns:a16="http://schemas.microsoft.com/office/drawing/2014/main" id="{A0DC4BA2-6EF4-475E-A2D4-7F3720346C8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1250083" y="2827576"/>
          <a:ext cx="542944" cy="527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582084</xdr:colOff>
      <xdr:row>15</xdr:row>
      <xdr:rowOff>63501</xdr:rowOff>
    </xdr:from>
    <xdr:to>
      <xdr:col>17</xdr:col>
      <xdr:colOff>52917</xdr:colOff>
      <xdr:row>19</xdr:row>
      <xdr:rowOff>22262</xdr:rowOff>
    </xdr:to>
    <xdr:pic>
      <xdr:nvPicPr>
        <xdr:cNvPr id="79" name="Picture 78">
          <a:extLst>
            <a:ext uri="{FF2B5EF4-FFF2-40B4-BE49-F238E27FC236}">
              <a16:creationId xmlns:a16="http://schemas.microsoft.com/office/drawing/2014/main" id="{49301764-51C3-4DDB-930B-5CF55B47085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789584" y="2762251"/>
          <a:ext cx="698500" cy="678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190499</xdr:colOff>
      <xdr:row>13</xdr:row>
      <xdr:rowOff>-1</xdr:rowOff>
    </xdr:from>
    <xdr:to>
      <xdr:col>3</xdr:col>
      <xdr:colOff>486833</xdr:colOff>
      <xdr:row>14</xdr:row>
      <xdr:rowOff>107901</xdr:rowOff>
    </xdr:to>
    <xdr:pic>
      <xdr:nvPicPr>
        <xdr:cNvPr id="80" name="Picture 79">
          <a:extLst>
            <a:ext uri="{FF2B5EF4-FFF2-40B4-BE49-F238E27FC236}">
              <a16:creationId xmlns:a16="http://schemas.microsoft.com/office/drawing/2014/main" id="{3BDFDA41-9484-4351-86E3-6E0B5D4D709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2031999" y="2338916"/>
          <a:ext cx="296334" cy="287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444500</xdr:colOff>
      <xdr:row>6</xdr:row>
      <xdr:rowOff>158751</xdr:rowOff>
    </xdr:from>
    <xdr:to>
      <xdr:col>15</xdr:col>
      <xdr:colOff>63500</xdr:colOff>
      <xdr:row>11</xdr:row>
      <xdr:rowOff>81506</xdr:rowOff>
    </xdr:to>
    <xdr:pic>
      <xdr:nvPicPr>
        <xdr:cNvPr id="82" name="Picture 81">
          <a:extLst>
            <a:ext uri="{FF2B5EF4-FFF2-40B4-BE49-F238E27FC236}">
              <a16:creationId xmlns:a16="http://schemas.microsoft.com/office/drawing/2014/main" id="{C0F05689-F037-486B-BCB7-F1B47D8A7AFF}"/>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424333" y="1238251"/>
          <a:ext cx="846667" cy="82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306917</xdr:colOff>
      <xdr:row>30</xdr:row>
      <xdr:rowOff>21167</xdr:rowOff>
    </xdr:from>
    <xdr:to>
      <xdr:col>4</xdr:col>
      <xdr:colOff>63501</xdr:colOff>
      <xdr:row>32</xdr:row>
      <xdr:rowOff>21107</xdr:rowOff>
    </xdr:to>
    <xdr:pic>
      <xdr:nvPicPr>
        <xdr:cNvPr id="83" name="Picture 82">
          <a:extLst>
            <a:ext uri="{FF2B5EF4-FFF2-40B4-BE49-F238E27FC236}">
              <a16:creationId xmlns:a16="http://schemas.microsoft.com/office/drawing/2014/main" id="{776F9245-4AE2-464A-A1DB-B0323D22365B}"/>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148417" y="5418667"/>
          <a:ext cx="370417" cy="359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9.250905671295" createdVersion="7" refreshedVersion="7" minRefreshableVersion="3" recordCount="61" xr:uid="{43CCD665-CF85-4350-9E6F-6F0483A0DA9A}">
  <cacheSource type="worksheet">
    <worksheetSource name="InputData"/>
  </cacheSource>
  <cacheFields count="16">
    <cacheField name="DATE" numFmtId="14">
      <sharedItems containsNonDate="0" containsDate="1" containsString="0" containsBlank="1" minDate="2021-01-12T00:00:00" maxDate="2023-12-17T00:00:00"/>
    </cacheField>
    <cacheField name="PRODUCT ID" numFmtId="0">
      <sharedItems/>
    </cacheField>
    <cacheField name="QUANTITY" numFmtId="0">
      <sharedItems containsSemiMixedTypes="0" containsString="0" containsNumber="1" containsInteger="1" minValue="1" maxValue="15"/>
    </cacheField>
    <cacheField name="SALE TYPE" numFmtId="0">
      <sharedItems count="3">
        <s v="Direct Sales"/>
        <s v="Online"/>
        <s v="Wholesaler"/>
      </sharedItems>
    </cacheField>
    <cacheField name="PAYMENT MODE" numFmtId="0">
      <sharedItems count="2">
        <s v="Cash"/>
        <s v="Online"/>
      </sharedItems>
    </cacheField>
    <cacheField name="DISCOUNT %" numFmtId="164">
      <sharedItems containsSemiMixedTypes="0" containsString="0" containsNumber="1" minValue="0" maxValue="0.15"/>
    </cacheField>
    <cacheField name="PRODUCT" numFmtId="0">
      <sharedItems count="36">
        <s v="Product24"/>
        <s v="Product32"/>
        <s v="Product04"/>
        <s v="Product31"/>
        <s v="Product39"/>
        <s v="Product26"/>
        <s v="Product29"/>
        <s v="Product02"/>
        <s v="Product01"/>
        <s v="Product03"/>
        <s v="Product18"/>
        <s v="Product37"/>
        <s v="Product27"/>
        <s v="Product23"/>
        <s v="Product44"/>
        <s v="Product22"/>
        <s v="Product35"/>
        <s v="Product30"/>
        <s v="Product16"/>
        <s v="Product25"/>
        <s v="Product36"/>
        <s v="Product19"/>
        <s v="Product34"/>
        <s v="Product43"/>
        <s v="Product09"/>
        <s v="Product05"/>
        <s v="Product14"/>
        <s v="Product08"/>
        <s v="Product41"/>
        <s v="Product11"/>
        <s v="Product45"/>
        <s v="Product13"/>
        <s v="Product15"/>
        <s v="Product33"/>
        <s v="Product17"/>
        <s v="Product28"/>
      </sharedItems>
    </cacheField>
    <cacheField name="CATEGORY" numFmtId="0">
      <sharedItems count="4">
        <s v="Category03"/>
        <s v="Category04"/>
        <s v="Category01"/>
        <s v="Category02"/>
      </sharedItems>
    </cacheField>
    <cacheField name="UOM" numFmtId="0">
      <sharedItems count="4">
        <s v="Lt"/>
        <s v="No."/>
        <s v="Dozon"/>
        <s v="Kg"/>
      </sharedItems>
    </cacheField>
    <cacheField name="BUYING PRICE" numFmtId="165">
      <sharedItems containsSemiMixedTypes="0" containsString="0" containsNumber="1" containsInteger="1" minValue="7" maxValue="148"/>
    </cacheField>
    <cacheField name="SELLING PRICE" numFmtId="165">
      <sharedItems containsSemiMixedTypes="0" containsString="0" containsNumber="1" minValue="9.02" maxValue="183.32"/>
    </cacheField>
    <cacheField name="Total Buying Value" numFmtId="165">
      <sharedItems containsSemiMixedTypes="0" containsString="0" containsNumber="1" containsInteger="1" minValue="13" maxValue="2016"/>
    </cacheField>
    <cacheField name="Total Selling Value" numFmtId="165">
      <sharedItems containsSemiMixedTypes="0" containsString="0" containsNumber="1" minValue="12.411" maxValue="2177.2800000000002"/>
    </cacheField>
    <cacheField name="DAY" numFmtId="0">
      <sharedItems containsSemiMixedTypes="0" containsString="0" containsNumber="1" containsInteger="1" minValue="0" maxValue="31" count="32">
        <n v="12"/>
        <n v="18"/>
        <n v="5"/>
        <n v="27"/>
        <n v="9"/>
        <n v="14"/>
        <n v="21"/>
        <n v="30"/>
        <n v="11"/>
        <n v="8"/>
        <n v="24"/>
        <n v="16"/>
        <n v="3"/>
        <n v="22"/>
        <n v="17"/>
        <n v="29"/>
        <n v="10"/>
        <n v="6"/>
        <n v="15"/>
        <n v="19"/>
        <n v="4"/>
        <n v="25"/>
        <n v="28"/>
        <n v="7"/>
        <n v="20"/>
        <n v="26"/>
        <n v="13"/>
        <n v="31"/>
        <n v="2"/>
        <n v="0"/>
        <n v="1" u="1"/>
        <n v="23" u="1"/>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1900" maxValue="2023" count="4">
        <n v="2021"/>
        <n v="2022"/>
        <n v="2023"/>
        <n v="1900"/>
      </sharedItems>
    </cacheField>
  </cacheFields>
  <extLst>
    <ext xmlns:x14="http://schemas.microsoft.com/office/spreadsheetml/2009/9/main" uri="{725AE2AE-9491-48be-B2B4-4EB974FC3084}">
      <x14:pivotCacheDefinition pivotCacheId="1688782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d v="2021-01-12T00:00:00"/>
    <s v="P0024"/>
    <n v="13"/>
    <x v="0"/>
    <x v="0"/>
    <n v="0.1"/>
    <x v="0"/>
    <x v="0"/>
    <x v="0"/>
    <n v="147"/>
    <n v="165.65"/>
    <n v="1911"/>
    <n v="1938.1050000000002"/>
    <x v="0"/>
    <x v="0"/>
    <x v="0"/>
  </r>
  <r>
    <d v="2022-02-18T00:00:00"/>
    <s v="P0032"/>
    <n v="1"/>
    <x v="0"/>
    <x v="1"/>
    <n v="0"/>
    <x v="1"/>
    <x v="1"/>
    <x v="1"/>
    <n v="114"/>
    <n v="155.52000000000001"/>
    <n v="114"/>
    <n v="155.52000000000001"/>
    <x v="1"/>
    <x v="1"/>
    <x v="1"/>
  </r>
  <r>
    <d v="2023-03-05T00:00:00"/>
    <s v="P0004"/>
    <n v="4"/>
    <x v="1"/>
    <x v="0"/>
    <n v="0"/>
    <x v="2"/>
    <x v="2"/>
    <x v="2"/>
    <n v="13"/>
    <n v="13.79"/>
    <n v="52"/>
    <n v="55.16"/>
    <x v="2"/>
    <x v="2"/>
    <x v="2"/>
  </r>
  <r>
    <d v="2021-04-27T00:00:00"/>
    <s v="P0032"/>
    <n v="14"/>
    <x v="0"/>
    <x v="0"/>
    <n v="0"/>
    <x v="1"/>
    <x v="1"/>
    <x v="1"/>
    <n v="114"/>
    <n v="155.52000000000001"/>
    <n v="1596"/>
    <n v="2177.2800000000002"/>
    <x v="3"/>
    <x v="3"/>
    <x v="0"/>
  </r>
  <r>
    <d v="2022-05-09T00:00:00"/>
    <s v="P0031"/>
    <n v="9"/>
    <x v="0"/>
    <x v="1"/>
    <n v="0.1"/>
    <x v="3"/>
    <x v="1"/>
    <x v="0"/>
    <n v="148"/>
    <n v="183.32"/>
    <n v="1332"/>
    <n v="1484.8919999999998"/>
    <x v="4"/>
    <x v="4"/>
    <x v="1"/>
  </r>
  <r>
    <d v="2023-06-14T00:00:00"/>
    <s v="P0039"/>
    <n v="7"/>
    <x v="0"/>
    <x v="0"/>
    <n v="0.15"/>
    <x v="4"/>
    <x v="3"/>
    <x v="1"/>
    <n v="7"/>
    <n v="9.02"/>
    <n v="49"/>
    <n v="53.668999999999997"/>
    <x v="5"/>
    <x v="5"/>
    <x v="2"/>
  </r>
  <r>
    <d v="2021-07-21T00:00:00"/>
    <s v="P0026"/>
    <n v="11"/>
    <x v="1"/>
    <x v="1"/>
    <n v="0.05"/>
    <x v="5"/>
    <x v="0"/>
    <x v="3"/>
    <n v="85"/>
    <n v="101.18"/>
    <n v="935"/>
    <n v="1057.3309999999999"/>
    <x v="6"/>
    <x v="6"/>
    <x v="0"/>
  </r>
  <r>
    <d v="2022-08-30T00:00:00"/>
    <s v="P0029"/>
    <n v="2"/>
    <x v="0"/>
    <x v="0"/>
    <n v="0"/>
    <x v="6"/>
    <x v="1"/>
    <x v="2"/>
    <n v="106"/>
    <n v="144.12"/>
    <n v="212"/>
    <n v="288.24"/>
    <x v="7"/>
    <x v="7"/>
    <x v="1"/>
  </r>
  <r>
    <d v="2023-09-11T00:00:00"/>
    <s v="P0002"/>
    <n v="10"/>
    <x v="1"/>
    <x v="0"/>
    <n v="0.1"/>
    <x v="7"/>
    <x v="2"/>
    <x v="0"/>
    <n v="62"/>
    <n v="68.13"/>
    <n v="620"/>
    <n v="613.16999999999996"/>
    <x v="8"/>
    <x v="8"/>
    <x v="2"/>
  </r>
  <r>
    <d v="2021-10-08T00:00:00"/>
    <s v="P0001"/>
    <n v="2"/>
    <x v="1"/>
    <x v="0"/>
    <n v="0"/>
    <x v="8"/>
    <x v="2"/>
    <x v="3"/>
    <n v="11"/>
    <n v="14.4"/>
    <n v="22"/>
    <n v="28.8"/>
    <x v="9"/>
    <x v="9"/>
    <x v="0"/>
  </r>
  <r>
    <d v="2022-11-24T00:00:00"/>
    <s v="P0003"/>
    <n v="14"/>
    <x v="2"/>
    <x v="0"/>
    <n v="0.1"/>
    <x v="9"/>
    <x v="2"/>
    <x v="3"/>
    <n v="144"/>
    <n v="155.58000000000001"/>
    <n v="2016"/>
    <n v="1960.3080000000004"/>
    <x v="10"/>
    <x v="10"/>
    <x v="1"/>
  </r>
  <r>
    <d v="2023-12-16T00:00:00"/>
    <s v="P0018"/>
    <n v="11"/>
    <x v="2"/>
    <x v="0"/>
    <n v="0.1"/>
    <x v="10"/>
    <x v="3"/>
    <x v="0"/>
    <n v="25"/>
    <n v="33.729999999999997"/>
    <n v="275"/>
    <n v="333.92699999999996"/>
    <x v="11"/>
    <x v="11"/>
    <x v="2"/>
  </r>
  <r>
    <d v="2022-01-03T00:00:00"/>
    <s v="P0037"/>
    <n v="10"/>
    <x v="2"/>
    <x v="0"/>
    <n v="0.05"/>
    <x v="11"/>
    <x v="2"/>
    <x v="2"/>
    <n v="102"/>
    <n v="128.37"/>
    <n v="1020"/>
    <n v="1219.5149999999999"/>
    <x v="12"/>
    <x v="0"/>
    <x v="1"/>
  </r>
  <r>
    <d v="2023-02-22T00:00:00"/>
    <s v="P0027"/>
    <n v="4"/>
    <x v="0"/>
    <x v="0"/>
    <n v="0.15"/>
    <x v="12"/>
    <x v="0"/>
    <x v="3"/>
    <n v="59"/>
    <n v="80.81"/>
    <n v="236"/>
    <n v="274.75400000000002"/>
    <x v="13"/>
    <x v="1"/>
    <x v="2"/>
  </r>
  <r>
    <d v="2021-03-17T00:00:00"/>
    <s v="P0023"/>
    <n v="7"/>
    <x v="2"/>
    <x v="1"/>
    <n v="0.15"/>
    <x v="13"/>
    <x v="0"/>
    <x v="0"/>
    <n v="46"/>
    <n v="55.74"/>
    <n v="322"/>
    <n v="331.65300000000002"/>
    <x v="14"/>
    <x v="2"/>
    <x v="0"/>
  </r>
  <r>
    <d v="2022-04-29T00:00:00"/>
    <s v="P0044"/>
    <n v="11"/>
    <x v="1"/>
    <x v="0"/>
    <n v="0"/>
    <x v="14"/>
    <x v="3"/>
    <x v="1"/>
    <n v="32"/>
    <n v="43.35"/>
    <n v="352"/>
    <n v="476.85"/>
    <x v="15"/>
    <x v="3"/>
    <x v="1"/>
  </r>
  <r>
    <d v="2023-05-10T00:00:00"/>
    <s v="P0022"/>
    <n v="13"/>
    <x v="0"/>
    <x v="0"/>
    <n v="0"/>
    <x v="15"/>
    <x v="0"/>
    <x v="3"/>
    <n v="48"/>
    <n v="59.37"/>
    <n v="624"/>
    <n v="771.81"/>
    <x v="16"/>
    <x v="4"/>
    <x v="2"/>
  </r>
  <r>
    <d v="2021-06-06T00:00:00"/>
    <s v="P0035"/>
    <n v="8"/>
    <x v="0"/>
    <x v="1"/>
    <n v="0"/>
    <x v="16"/>
    <x v="1"/>
    <x v="3"/>
    <n v="33"/>
    <n v="36.42"/>
    <n v="264"/>
    <n v="291.36"/>
    <x v="17"/>
    <x v="5"/>
    <x v="0"/>
  </r>
  <r>
    <d v="2022-07-15T00:00:00"/>
    <s v="P0030"/>
    <n v="4"/>
    <x v="0"/>
    <x v="1"/>
    <n v="0.1"/>
    <x v="17"/>
    <x v="1"/>
    <x v="2"/>
    <n v="41"/>
    <n v="46.85"/>
    <n v="164"/>
    <n v="168.66"/>
    <x v="18"/>
    <x v="6"/>
    <x v="1"/>
  </r>
  <r>
    <d v="2023-08-27T00:00:00"/>
    <s v="P0004"/>
    <n v="11"/>
    <x v="1"/>
    <x v="0"/>
    <n v="0"/>
    <x v="2"/>
    <x v="2"/>
    <x v="2"/>
    <n v="13"/>
    <n v="13.79"/>
    <n v="143"/>
    <n v="151.69"/>
    <x v="3"/>
    <x v="7"/>
    <x v="2"/>
  </r>
  <r>
    <d v="2021-09-19T00:00:00"/>
    <s v="P0016"/>
    <n v="3"/>
    <x v="2"/>
    <x v="1"/>
    <n v="0.05"/>
    <x v="18"/>
    <x v="3"/>
    <x v="1"/>
    <n v="97"/>
    <n v="121.45"/>
    <n v="291"/>
    <n v="346.13249999999999"/>
    <x v="19"/>
    <x v="8"/>
    <x v="0"/>
  </r>
  <r>
    <d v="2022-10-12T00:00:00"/>
    <s v="P0026"/>
    <n v="15"/>
    <x v="0"/>
    <x v="0"/>
    <n v="0.05"/>
    <x v="5"/>
    <x v="0"/>
    <x v="3"/>
    <n v="85"/>
    <n v="101.18"/>
    <n v="1275"/>
    <n v="1441.8150000000001"/>
    <x v="0"/>
    <x v="9"/>
    <x v="1"/>
  </r>
  <r>
    <d v="2023-11-04T00:00:00"/>
    <s v="P0025"/>
    <n v="5"/>
    <x v="2"/>
    <x v="1"/>
    <n v="0.05"/>
    <x v="19"/>
    <x v="0"/>
    <x v="0"/>
    <n v="19"/>
    <n v="21.47"/>
    <n v="95"/>
    <n v="101.98249999999999"/>
    <x v="20"/>
    <x v="10"/>
    <x v="2"/>
  </r>
  <r>
    <d v="2021-12-25T00:00:00"/>
    <s v="P0036"/>
    <n v="11"/>
    <x v="1"/>
    <x v="1"/>
    <n v="0"/>
    <x v="20"/>
    <x v="1"/>
    <x v="0"/>
    <n v="113"/>
    <n v="142.24"/>
    <n v="1243"/>
    <n v="1564.64"/>
    <x v="21"/>
    <x v="11"/>
    <x v="0"/>
  </r>
  <r>
    <d v="2023-01-14T00:00:00"/>
    <s v="P0019"/>
    <n v="4"/>
    <x v="0"/>
    <x v="0"/>
    <n v="0.15"/>
    <x v="21"/>
    <x v="0"/>
    <x v="3"/>
    <n v="102"/>
    <n v="117.02"/>
    <n v="408"/>
    <n v="397.86799999999999"/>
    <x v="5"/>
    <x v="0"/>
    <x v="2"/>
  </r>
  <r>
    <d v="2021-02-09T00:00:00"/>
    <s v="P0004"/>
    <n v="1"/>
    <x v="1"/>
    <x v="1"/>
    <n v="0.1"/>
    <x v="2"/>
    <x v="2"/>
    <x v="2"/>
    <n v="13"/>
    <n v="13.79"/>
    <n v="13"/>
    <n v="12.411"/>
    <x v="4"/>
    <x v="1"/>
    <x v="0"/>
  </r>
  <r>
    <d v="2022-03-28T00:00:00"/>
    <s v="P0034"/>
    <n v="3"/>
    <x v="0"/>
    <x v="0"/>
    <n v="0"/>
    <x v="22"/>
    <x v="1"/>
    <x v="0"/>
    <n v="135"/>
    <n v="165.07"/>
    <n v="405"/>
    <n v="495.21"/>
    <x v="22"/>
    <x v="2"/>
    <x v="1"/>
  </r>
  <r>
    <d v="2023-04-07T00:00:00"/>
    <s v="P0039"/>
    <n v="2"/>
    <x v="1"/>
    <x v="0"/>
    <n v="0.05"/>
    <x v="4"/>
    <x v="3"/>
    <x v="1"/>
    <n v="7"/>
    <n v="9.02"/>
    <n v="14"/>
    <n v="17.137999999999998"/>
    <x v="23"/>
    <x v="3"/>
    <x v="2"/>
  </r>
  <r>
    <d v="2021-05-20T00:00:00"/>
    <s v="P0037"/>
    <n v="4"/>
    <x v="1"/>
    <x v="0"/>
    <n v="0.1"/>
    <x v="11"/>
    <x v="2"/>
    <x v="2"/>
    <n v="102"/>
    <n v="128.37"/>
    <n v="408"/>
    <n v="462.13200000000001"/>
    <x v="24"/>
    <x v="4"/>
    <x v="0"/>
  </r>
  <r>
    <d v="2022-06-11T00:00:00"/>
    <s v="P0027"/>
    <n v="11"/>
    <x v="1"/>
    <x v="1"/>
    <n v="0"/>
    <x v="12"/>
    <x v="0"/>
    <x v="3"/>
    <n v="59"/>
    <n v="80.81"/>
    <n v="649"/>
    <n v="888.91000000000008"/>
    <x v="8"/>
    <x v="5"/>
    <x v="1"/>
  </r>
  <r>
    <d v="2023-07-26T00:00:00"/>
    <s v="P0043"/>
    <n v="12"/>
    <x v="2"/>
    <x v="0"/>
    <n v="0"/>
    <x v="23"/>
    <x v="3"/>
    <x v="0"/>
    <n v="133"/>
    <n v="175.12"/>
    <n v="1596"/>
    <n v="2101.44"/>
    <x v="25"/>
    <x v="6"/>
    <x v="2"/>
  </r>
  <r>
    <d v="2021-08-13T00:00:00"/>
    <s v="P0009"/>
    <n v="11"/>
    <x v="1"/>
    <x v="1"/>
    <n v="0.05"/>
    <x v="24"/>
    <x v="2"/>
    <x v="3"/>
    <n v="45"/>
    <n v="58.25"/>
    <n v="495"/>
    <n v="608.71249999999998"/>
    <x v="26"/>
    <x v="7"/>
    <x v="0"/>
  </r>
  <r>
    <d v="2022-09-05T00:00:00"/>
    <s v="P0005"/>
    <n v="1"/>
    <x v="2"/>
    <x v="0"/>
    <n v="0"/>
    <x v="25"/>
    <x v="2"/>
    <x v="0"/>
    <n v="64"/>
    <n v="78.52"/>
    <n v="64"/>
    <n v="78.52"/>
    <x v="2"/>
    <x v="8"/>
    <x v="1"/>
  </r>
  <r>
    <d v="2023-10-18T00:00:00"/>
    <s v="P0014"/>
    <n v="9"/>
    <x v="2"/>
    <x v="0"/>
    <n v="0"/>
    <x v="26"/>
    <x v="3"/>
    <x v="2"/>
    <n v="142"/>
    <n v="155.30000000000001"/>
    <n v="1278"/>
    <n v="1397.7"/>
    <x v="1"/>
    <x v="9"/>
    <x v="2"/>
  </r>
  <r>
    <d v="2021-11-30T00:00:00"/>
    <s v="P0016"/>
    <n v="6"/>
    <x v="2"/>
    <x v="0"/>
    <n v="0.05"/>
    <x v="18"/>
    <x v="3"/>
    <x v="1"/>
    <n v="97"/>
    <n v="121.45"/>
    <n v="582"/>
    <n v="692.26499999999999"/>
    <x v="7"/>
    <x v="10"/>
    <x v="0"/>
  </r>
  <r>
    <d v="2022-12-08T00:00:00"/>
    <s v="P0035"/>
    <n v="12"/>
    <x v="2"/>
    <x v="0"/>
    <n v="0.15"/>
    <x v="16"/>
    <x v="1"/>
    <x v="3"/>
    <n v="33"/>
    <n v="36.42"/>
    <n v="396"/>
    <n v="371.48399999999998"/>
    <x v="9"/>
    <x v="11"/>
    <x v="1"/>
  </r>
  <r>
    <d v="2022-01-26T00:00:00"/>
    <s v="P0036"/>
    <n v="5"/>
    <x v="1"/>
    <x v="0"/>
    <n v="0"/>
    <x v="20"/>
    <x v="1"/>
    <x v="0"/>
    <n v="113"/>
    <n v="142.24"/>
    <n v="565"/>
    <n v="711.2"/>
    <x v="25"/>
    <x v="0"/>
    <x v="1"/>
  </r>
  <r>
    <d v="2023-02-15T00:00:00"/>
    <s v="P0008"/>
    <n v="15"/>
    <x v="0"/>
    <x v="0"/>
    <n v="0"/>
    <x v="27"/>
    <x v="2"/>
    <x v="1"/>
    <n v="76"/>
    <n v="101.33"/>
    <n v="1140"/>
    <n v="1519.95"/>
    <x v="18"/>
    <x v="1"/>
    <x v="2"/>
  </r>
  <r>
    <d v="2021-03-04T00:00:00"/>
    <s v="P0039"/>
    <n v="4"/>
    <x v="1"/>
    <x v="1"/>
    <n v="0"/>
    <x v="4"/>
    <x v="3"/>
    <x v="1"/>
    <n v="7"/>
    <n v="9.02"/>
    <n v="28"/>
    <n v="36.08"/>
    <x v="20"/>
    <x v="2"/>
    <x v="0"/>
  </r>
  <r>
    <d v="2022-04-21T00:00:00"/>
    <s v="P0041"/>
    <n v="14"/>
    <x v="2"/>
    <x v="1"/>
    <n v="0"/>
    <x v="28"/>
    <x v="3"/>
    <x v="0"/>
    <n v="33"/>
    <n v="38.04"/>
    <n v="462"/>
    <n v="532.55999999999995"/>
    <x v="6"/>
    <x v="3"/>
    <x v="1"/>
  </r>
  <r>
    <d v="2023-05-31T00:00:00"/>
    <s v="P0004"/>
    <n v="2"/>
    <x v="1"/>
    <x v="1"/>
    <n v="0"/>
    <x v="2"/>
    <x v="2"/>
    <x v="2"/>
    <n v="13"/>
    <n v="13.79"/>
    <n v="26"/>
    <n v="27.58"/>
    <x v="27"/>
    <x v="4"/>
    <x v="2"/>
  </r>
  <r>
    <d v="2021-06-18T00:00:00"/>
    <s v="P0001"/>
    <n v="6"/>
    <x v="0"/>
    <x v="1"/>
    <n v="0"/>
    <x v="8"/>
    <x v="2"/>
    <x v="3"/>
    <n v="11"/>
    <n v="14.4"/>
    <n v="66"/>
    <n v="86.4"/>
    <x v="1"/>
    <x v="5"/>
    <x v="0"/>
  </r>
  <r>
    <d v="2022-07-07T00:00:00"/>
    <s v="P0029"/>
    <n v="9"/>
    <x v="1"/>
    <x v="1"/>
    <n v="0.1"/>
    <x v="6"/>
    <x v="1"/>
    <x v="2"/>
    <n v="106"/>
    <n v="144.12"/>
    <n v="954"/>
    <n v="1167.3720000000001"/>
    <x v="23"/>
    <x v="6"/>
    <x v="1"/>
  </r>
  <r>
    <d v="2023-08-24T00:00:00"/>
    <s v="P0008"/>
    <n v="2"/>
    <x v="1"/>
    <x v="0"/>
    <n v="0.1"/>
    <x v="27"/>
    <x v="2"/>
    <x v="1"/>
    <n v="76"/>
    <n v="101.33"/>
    <n v="152"/>
    <n v="182.39400000000001"/>
    <x v="10"/>
    <x v="7"/>
    <x v="2"/>
  </r>
  <r>
    <d v="2021-09-02T00:00:00"/>
    <s v="P0024"/>
    <n v="10"/>
    <x v="1"/>
    <x v="0"/>
    <n v="0.05"/>
    <x v="0"/>
    <x v="0"/>
    <x v="0"/>
    <n v="147"/>
    <n v="165.65"/>
    <n v="1470"/>
    <n v="1573.675"/>
    <x v="28"/>
    <x v="8"/>
    <x v="0"/>
  </r>
  <r>
    <d v="2022-10-16T00:00:00"/>
    <s v="P0003"/>
    <n v="5"/>
    <x v="2"/>
    <x v="0"/>
    <n v="0"/>
    <x v="9"/>
    <x v="2"/>
    <x v="3"/>
    <n v="144"/>
    <n v="155.58000000000001"/>
    <n v="720"/>
    <n v="777.90000000000009"/>
    <x v="11"/>
    <x v="9"/>
    <x v="1"/>
  </r>
  <r>
    <d v="2023-11-29T00:00:00"/>
    <s v="P0044"/>
    <n v="4"/>
    <x v="1"/>
    <x v="0"/>
    <n v="0"/>
    <x v="14"/>
    <x v="3"/>
    <x v="1"/>
    <n v="32"/>
    <n v="43.35"/>
    <n v="128"/>
    <n v="173.4"/>
    <x v="15"/>
    <x v="10"/>
    <x v="2"/>
  </r>
  <r>
    <d v="2021-12-10T00:00:00"/>
    <s v="P0036"/>
    <n v="15"/>
    <x v="2"/>
    <x v="0"/>
    <n v="0"/>
    <x v="20"/>
    <x v="1"/>
    <x v="0"/>
    <n v="113"/>
    <n v="142.24"/>
    <n v="1695"/>
    <n v="2133.6000000000004"/>
    <x v="16"/>
    <x v="11"/>
    <x v="0"/>
  </r>
  <r>
    <d v="2023-01-19T00:00:00"/>
    <s v="P0011"/>
    <n v="13"/>
    <x v="0"/>
    <x v="1"/>
    <n v="0"/>
    <x v="29"/>
    <x v="3"/>
    <x v="0"/>
    <n v="31"/>
    <n v="33.56"/>
    <n v="403"/>
    <n v="436.28000000000003"/>
    <x v="19"/>
    <x v="0"/>
    <x v="2"/>
  </r>
  <r>
    <d v="2021-02-27T00:00:00"/>
    <s v="P0022"/>
    <n v="13"/>
    <x v="2"/>
    <x v="0"/>
    <n v="0"/>
    <x v="15"/>
    <x v="0"/>
    <x v="3"/>
    <n v="48"/>
    <n v="59.37"/>
    <n v="624"/>
    <n v="771.81"/>
    <x v="3"/>
    <x v="1"/>
    <x v="0"/>
  </r>
  <r>
    <d v="2022-03-13T00:00:00"/>
    <s v="P0045"/>
    <n v="2"/>
    <x v="2"/>
    <x v="0"/>
    <n v="0.05"/>
    <x v="30"/>
    <x v="2"/>
    <x v="0"/>
    <n v="134"/>
    <n v="169.26"/>
    <n v="268"/>
    <n v="321.59399999999999"/>
    <x v="26"/>
    <x v="2"/>
    <x v="1"/>
  </r>
  <r>
    <d v="2023-04-25T00:00:00"/>
    <s v="P0013"/>
    <n v="14"/>
    <x v="2"/>
    <x v="1"/>
    <n v="0"/>
    <x v="31"/>
    <x v="3"/>
    <x v="1"/>
    <n v="72"/>
    <n v="95.94"/>
    <n v="1008"/>
    <n v="1343.1599999999999"/>
    <x v="21"/>
    <x v="3"/>
    <x v="2"/>
  </r>
  <r>
    <d v="2021-05-08T00:00:00"/>
    <s v="P0015"/>
    <n v="4"/>
    <x v="0"/>
    <x v="0"/>
    <n v="0.05"/>
    <x v="32"/>
    <x v="3"/>
    <x v="2"/>
    <n v="25"/>
    <n v="31.08"/>
    <n v="100"/>
    <n v="118.10399999999998"/>
    <x v="9"/>
    <x v="4"/>
    <x v="0"/>
  </r>
  <r>
    <d v="2022-06-22T00:00:00"/>
    <s v="P0018"/>
    <n v="14"/>
    <x v="0"/>
    <x v="1"/>
    <n v="0"/>
    <x v="10"/>
    <x v="3"/>
    <x v="0"/>
    <n v="25"/>
    <n v="33.729999999999997"/>
    <n v="350"/>
    <n v="472.21999999999997"/>
    <x v="13"/>
    <x v="5"/>
    <x v="1"/>
  </r>
  <r>
    <d v="2023-07-03T00:00:00"/>
    <s v="P0033"/>
    <n v="7"/>
    <x v="1"/>
    <x v="1"/>
    <n v="0"/>
    <x v="33"/>
    <x v="1"/>
    <x v="2"/>
    <n v="97"/>
    <n v="109.3"/>
    <n v="679"/>
    <n v="765.1"/>
    <x v="12"/>
    <x v="6"/>
    <x v="2"/>
  </r>
  <r>
    <d v="2021-08-17T00:00:00"/>
    <s v="P0017"/>
    <n v="3"/>
    <x v="1"/>
    <x v="1"/>
    <n v="0"/>
    <x v="34"/>
    <x v="3"/>
    <x v="3"/>
    <n v="16"/>
    <n v="20.5"/>
    <n v="48"/>
    <n v="61.5"/>
    <x v="14"/>
    <x v="7"/>
    <x v="0"/>
  </r>
  <r>
    <d v="2022-09-28T00:00:00"/>
    <s v="P0039"/>
    <n v="7"/>
    <x v="2"/>
    <x v="1"/>
    <n v="0.05"/>
    <x v="4"/>
    <x v="3"/>
    <x v="1"/>
    <n v="7"/>
    <n v="9.02"/>
    <n v="49"/>
    <n v="59.982999999999997"/>
    <x v="22"/>
    <x v="8"/>
    <x v="1"/>
  </r>
  <r>
    <d v="2023-10-06T00:00:00"/>
    <s v="P0033"/>
    <n v="2"/>
    <x v="2"/>
    <x v="0"/>
    <n v="0"/>
    <x v="33"/>
    <x v="1"/>
    <x v="2"/>
    <n v="97"/>
    <n v="109.3"/>
    <n v="194"/>
    <n v="218.6"/>
    <x v="17"/>
    <x v="9"/>
    <x v="2"/>
  </r>
  <r>
    <d v="2021-11-15T00:00:00"/>
    <s v="P0028"/>
    <n v="1"/>
    <x v="1"/>
    <x v="0"/>
    <n v="0"/>
    <x v="35"/>
    <x v="1"/>
    <x v="1"/>
    <n v="85"/>
    <n v="95.58"/>
    <n v="85"/>
    <n v="95.58"/>
    <x v="18"/>
    <x v="10"/>
    <x v="0"/>
  </r>
  <r>
    <d v="2022-12-20T00:00:00"/>
    <s v="P0005"/>
    <n v="11"/>
    <x v="2"/>
    <x v="1"/>
    <n v="0.15"/>
    <x v="25"/>
    <x v="2"/>
    <x v="0"/>
    <n v="64"/>
    <n v="78.52"/>
    <n v="704"/>
    <n v="734.16199999999992"/>
    <x v="24"/>
    <x v="11"/>
    <x v="1"/>
  </r>
  <r>
    <m/>
    <s v="P0005"/>
    <n v="13"/>
    <x v="1"/>
    <x v="0"/>
    <n v="0"/>
    <x v="25"/>
    <x v="2"/>
    <x v="0"/>
    <n v="64"/>
    <n v="78.52"/>
    <n v="832"/>
    <n v="1020.76"/>
    <x v="29"/>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77BC88-8E79-48E6-A0B8-9E26EFEB8B0D}" name="Total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E2" firstHeaderRow="0" firstDataRow="1" firstDataCol="0"/>
  <pivotFields count="16">
    <pivotField numFmtId="14" showAll="0"/>
    <pivotField showAll="0"/>
    <pivotField showAll="0"/>
    <pivotField showAll="0">
      <items count="4">
        <item x="0"/>
        <item x="1"/>
        <item x="2"/>
        <item t="default"/>
      </items>
    </pivotField>
    <pivotField showAll="0">
      <items count="3">
        <item x="0"/>
        <item x="1"/>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pivotField showAll="0">
      <items count="13">
        <item x="0"/>
        <item x="1"/>
        <item x="2"/>
        <item x="3"/>
        <item x="4"/>
        <item x="5"/>
        <item x="6"/>
        <item x="7"/>
        <item x="8"/>
        <item x="9"/>
        <item x="10"/>
        <item x="11"/>
        <item t="default"/>
      </items>
    </pivotField>
    <pivotField showAll="0">
      <items count="5">
        <item x="3"/>
        <item x="0"/>
        <item x="1"/>
        <item x="2"/>
        <item t="default"/>
      </items>
    </pivotField>
  </pivotFields>
  <rowItems count="1">
    <i/>
  </rowItems>
  <colFields count="1">
    <field x="-2"/>
  </colFields>
  <colItems count="2">
    <i>
      <x/>
    </i>
    <i i="1">
      <x v="1"/>
    </i>
  </colItems>
  <dataFields count="2">
    <dataField name="Sum of Total Selling Value" fld="12" baseField="0" baseItem="0"/>
    <dataField name="Sum of Total Buying Val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C6EC7-DB67-41E7-9C01-3E11FC1767F4}" name="Daily"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3:B33" firstHeaderRow="1" firstDataRow="1" firstDataCol="1"/>
  <pivotFields count="16">
    <pivotField numFmtId="14" showAll="0"/>
    <pivotField showAll="0"/>
    <pivotField showAll="0"/>
    <pivotField showAll="0">
      <items count="4">
        <item x="0"/>
        <item x="1"/>
        <item x="2"/>
        <item t="default"/>
      </items>
    </pivotField>
    <pivotField showAll="0">
      <items count="3">
        <item x="0"/>
        <item x="1"/>
        <item t="default"/>
      </items>
    </pivotField>
    <pivotField numFmtId="164" showAll="0"/>
    <pivotField showAll="0"/>
    <pivotField showAll="0"/>
    <pivotField showAll="0"/>
    <pivotField numFmtId="165" showAll="0"/>
    <pivotField numFmtId="165" showAll="0"/>
    <pivotField numFmtId="165" showAll="0"/>
    <pivotField dataField="1" numFmtId="165" showAll="0"/>
    <pivotField axis="axisRow" showAll="0">
      <items count="33">
        <item m="1" x="30"/>
        <item x="28"/>
        <item x="20"/>
        <item x="2"/>
        <item x="17"/>
        <item x="23"/>
        <item x="4"/>
        <item x="16"/>
        <item x="8"/>
        <item x="0"/>
        <item x="5"/>
        <item x="18"/>
        <item x="11"/>
        <item x="14"/>
        <item x="1"/>
        <item x="24"/>
        <item x="6"/>
        <item m="1" x="31"/>
        <item x="10"/>
        <item x="25"/>
        <item x="3"/>
        <item x="22"/>
        <item x="15"/>
        <item x="7"/>
        <item x="9"/>
        <item x="12"/>
        <item x="13"/>
        <item x="19"/>
        <item x="21"/>
        <item x="26"/>
        <item x="27"/>
        <item x="29"/>
        <item t="default"/>
      </items>
    </pivotField>
    <pivotField showAll="0">
      <items count="13">
        <item x="0"/>
        <item x="1"/>
        <item x="2"/>
        <item x="3"/>
        <item x="4"/>
        <item x="5"/>
        <item x="6"/>
        <item x="7"/>
        <item x="8"/>
        <item x="9"/>
        <item x="10"/>
        <item x="11"/>
        <item t="default"/>
      </items>
    </pivotField>
    <pivotField showAll="0">
      <items count="5">
        <item x="3"/>
        <item x="0"/>
        <item x="1"/>
        <item x="2"/>
        <item t="default"/>
      </items>
    </pivotField>
  </pivotFields>
  <rowFields count="1">
    <field x="13"/>
  </rowFields>
  <rowItems count="30">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rowItems>
  <colItems count="1">
    <i/>
  </colItems>
  <dataFields count="1">
    <dataField name="Sum of Total Selling Value" fld="12" baseField="0" baseItem="0" numFmtId="166"/>
  </dataFields>
  <formats count="1">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52109-20BF-48CB-8F39-12A790BF827D}" name="Category"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E1:AF5" firstHeaderRow="1" firstDataRow="1" firstDataCol="1"/>
  <pivotFields count="16">
    <pivotField numFmtId="14" showAll="0"/>
    <pivotField showAll="0"/>
    <pivotField showAll="0"/>
    <pivotField showAll="0">
      <items count="4">
        <item x="0"/>
        <item x="1"/>
        <item x="2"/>
        <item t="default"/>
      </items>
    </pivotField>
    <pivotField showAll="0">
      <items count="3">
        <item x="0"/>
        <item x="1"/>
        <item t="default"/>
      </items>
    </pivotField>
    <pivotField numFmtId="164" showAll="0"/>
    <pivotField showAll="0"/>
    <pivotField axis="axisRow" showAll="0">
      <items count="5">
        <item x="2"/>
        <item x="3"/>
        <item x="0"/>
        <item x="1"/>
        <item t="default"/>
      </items>
    </pivotField>
    <pivotField showAll="0"/>
    <pivotField numFmtId="165" showAll="0"/>
    <pivotField numFmtId="165" showAll="0"/>
    <pivotField numFmtId="165" showAll="0"/>
    <pivotField dataField="1" numFmtId="165" showAll="0"/>
    <pivotField showAll="0"/>
    <pivotField showAll="0">
      <items count="13">
        <item x="0"/>
        <item x="1"/>
        <item x="2"/>
        <item x="3"/>
        <item x="4"/>
        <item x="5"/>
        <item x="6"/>
        <item x="7"/>
        <item x="8"/>
        <item x="9"/>
        <item x="10"/>
        <item x="11"/>
        <item t="default"/>
      </items>
    </pivotField>
    <pivotField showAll="0">
      <items count="5">
        <item x="3"/>
        <item x="0"/>
        <item x="1"/>
        <item x="2"/>
        <item t="default"/>
      </items>
    </pivotField>
  </pivotFields>
  <rowFields count="1">
    <field x="7"/>
  </rowFields>
  <rowItems count="4">
    <i>
      <x/>
    </i>
    <i>
      <x v="1"/>
    </i>
    <i>
      <x v="2"/>
    </i>
    <i>
      <x v="3"/>
    </i>
  </rowItems>
  <colItems count="1">
    <i/>
  </colItems>
  <dataFields count="1">
    <dataField name="Sum of Total Selling Val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991E7A-A20B-4DB8-AB12-58997AD57A75}" name="Monthly"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G1:I13" firstHeaderRow="0" firstDataRow="1" firstDataCol="1"/>
  <pivotFields count="16">
    <pivotField numFmtId="14" showAll="0"/>
    <pivotField showAll="0"/>
    <pivotField showAll="0"/>
    <pivotField showAll="0">
      <items count="4">
        <item x="0"/>
        <item x="1"/>
        <item x="2"/>
        <item t="default"/>
      </items>
    </pivotField>
    <pivotField showAll="0">
      <items count="3">
        <item x="0"/>
        <item x="1"/>
        <item t="default"/>
      </items>
    </pivotField>
    <pivotField numFmtId="164" showAll="0"/>
    <pivotField showAll="0"/>
    <pivotField showAll="0"/>
    <pivotField showAll="0"/>
    <pivotField numFmtId="165" showAll="0"/>
    <pivotField numFmtId="165" showAll="0"/>
    <pivotField dataField="1" numFmtId="165" showAll="0"/>
    <pivotField dataField="1" numFmtId="165" showAll="0"/>
    <pivotField showAll="0"/>
    <pivotField axis="axisRow" showAll="0">
      <items count="13">
        <item x="0"/>
        <item x="1"/>
        <item x="2"/>
        <item x="3"/>
        <item x="4"/>
        <item x="5"/>
        <item x="6"/>
        <item x="7"/>
        <item x="8"/>
        <item x="9"/>
        <item x="10"/>
        <item x="11"/>
        <item t="default"/>
      </items>
    </pivotField>
    <pivotField showAll="0">
      <items count="5">
        <item x="3"/>
        <item x="0"/>
        <item x="1"/>
        <item x="2"/>
        <item t="default"/>
      </items>
    </pivotField>
  </pivotFields>
  <rowFields count="1">
    <field x="14"/>
  </rowFields>
  <rowItems count="12">
    <i>
      <x/>
    </i>
    <i>
      <x v="1"/>
    </i>
    <i>
      <x v="2"/>
    </i>
    <i>
      <x v="3"/>
    </i>
    <i>
      <x v="4"/>
    </i>
    <i>
      <x v="5"/>
    </i>
    <i>
      <x v="6"/>
    </i>
    <i>
      <x v="7"/>
    </i>
    <i>
      <x v="8"/>
    </i>
    <i>
      <x v="9"/>
    </i>
    <i>
      <x v="10"/>
    </i>
    <i>
      <x v="11"/>
    </i>
  </rowItems>
  <colFields count="1">
    <field x="-2"/>
  </colFields>
  <colItems count="2">
    <i>
      <x/>
    </i>
    <i i="1">
      <x v="1"/>
    </i>
  </colItems>
  <dataFields count="2">
    <dataField name="Sum of Total Selling Value" fld="12" baseField="0" baseItem="0"/>
    <dataField name="Sum of Total Buying Val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14BE0E-0613-4973-8400-ED26354A5A56}" name="Product" cacheId="0" applyNumberFormats="0" applyBorderFormats="0" applyFontFormats="0" applyPatternFormats="0" applyAlignmentFormats="0" applyWidthHeightFormats="1" dataCaption="Values" updatedVersion="7" minRefreshableVersion="3" useAutoFormatting="1" rowGrandTotals="0" itemPrintTitles="1" createdVersion="7" indent="0" compact="0" compactData="0" multipleFieldFilters="0">
  <location ref="P1:S37" firstHeaderRow="0" firstDataRow="1" firstDataCol="2"/>
  <pivotFields count="16">
    <pivotField compact="0" numFmtId="14" outline="0" showAll="0"/>
    <pivotField compact="0" outline="0" showAll="0"/>
    <pivotField dataField="1" compact="0" outline="0" showAll="0"/>
    <pivotField compact="0" outline="0" showAll="0">
      <items count="4">
        <item x="0"/>
        <item x="1"/>
        <item x="2"/>
        <item t="default"/>
      </items>
    </pivotField>
    <pivotField compact="0" outline="0" showAll="0">
      <items count="3">
        <item x="0"/>
        <item x="1"/>
        <item t="default"/>
      </items>
    </pivotField>
    <pivotField compact="0" numFmtId="164" outline="0" showAll="0"/>
    <pivotField axis="axisRow" compact="0" outline="0" showAll="0" defaultSubtotal="0">
      <items count="36">
        <item x="8"/>
        <item x="7"/>
        <item x="9"/>
        <item x="2"/>
        <item x="25"/>
        <item x="27"/>
        <item x="24"/>
        <item x="29"/>
        <item x="31"/>
        <item x="26"/>
        <item x="32"/>
        <item x="18"/>
        <item x="34"/>
        <item x="10"/>
        <item x="21"/>
        <item x="15"/>
        <item x="13"/>
        <item x="0"/>
        <item x="19"/>
        <item x="5"/>
        <item x="12"/>
        <item x="35"/>
        <item x="6"/>
        <item x="17"/>
        <item x="3"/>
        <item x="1"/>
        <item x="33"/>
        <item x="22"/>
        <item x="16"/>
        <item x="20"/>
        <item x="11"/>
        <item x="4"/>
        <item x="28"/>
        <item x="23"/>
        <item x="14"/>
        <item x="30"/>
      </items>
    </pivotField>
    <pivotField compact="0" outline="0" showAll="0"/>
    <pivotField axis="axisRow" compact="0" outline="0" showAll="0">
      <items count="5">
        <item x="2"/>
        <item x="3"/>
        <item x="0"/>
        <item x="1"/>
        <item t="default"/>
      </items>
    </pivotField>
    <pivotField compact="0" numFmtId="165" outline="0" showAll="0"/>
    <pivotField compact="0" numFmtId="165" outline="0" showAll="0"/>
    <pivotField compact="0" numFmtId="165" outline="0" showAll="0"/>
    <pivotField dataField="1" compact="0" numFmtId="165" outline="0" showAll="0"/>
    <pivotField compact="0" outline="0" showAll="0"/>
    <pivotField compact="0" outline="0" showAll="0">
      <items count="13">
        <item x="0"/>
        <item x="1"/>
        <item x="2"/>
        <item x="3"/>
        <item x="4"/>
        <item x="5"/>
        <item x="6"/>
        <item x="7"/>
        <item x="8"/>
        <item x="9"/>
        <item x="10"/>
        <item x="11"/>
        <item t="default"/>
      </items>
    </pivotField>
    <pivotField compact="0" outline="0" showAll="0">
      <items count="5">
        <item x="3"/>
        <item x="0"/>
        <item x="1"/>
        <item x="2"/>
        <item t="default"/>
      </items>
    </pivotField>
  </pivotFields>
  <rowFields count="2">
    <field x="6"/>
    <field x="8"/>
  </rowFields>
  <rowItems count="36">
    <i>
      <x/>
      <x v="1"/>
    </i>
    <i>
      <x v="1"/>
      <x v="2"/>
    </i>
    <i>
      <x v="2"/>
      <x v="1"/>
    </i>
    <i>
      <x v="3"/>
      <x/>
    </i>
    <i>
      <x v="4"/>
      <x v="2"/>
    </i>
    <i>
      <x v="5"/>
      <x v="3"/>
    </i>
    <i>
      <x v="6"/>
      <x v="1"/>
    </i>
    <i>
      <x v="7"/>
      <x v="2"/>
    </i>
    <i>
      <x v="8"/>
      <x v="3"/>
    </i>
    <i>
      <x v="9"/>
      <x/>
    </i>
    <i>
      <x v="10"/>
      <x/>
    </i>
    <i>
      <x v="11"/>
      <x v="3"/>
    </i>
    <i>
      <x v="12"/>
      <x v="1"/>
    </i>
    <i>
      <x v="13"/>
      <x v="2"/>
    </i>
    <i>
      <x v="14"/>
      <x v="1"/>
    </i>
    <i>
      <x v="15"/>
      <x v="1"/>
    </i>
    <i>
      <x v="16"/>
      <x v="2"/>
    </i>
    <i>
      <x v="17"/>
      <x v="2"/>
    </i>
    <i>
      <x v="18"/>
      <x v="2"/>
    </i>
    <i>
      <x v="19"/>
      <x v="1"/>
    </i>
    <i>
      <x v="20"/>
      <x v="1"/>
    </i>
    <i>
      <x v="21"/>
      <x v="3"/>
    </i>
    <i>
      <x v="22"/>
      <x/>
    </i>
    <i>
      <x v="23"/>
      <x/>
    </i>
    <i>
      <x v="24"/>
      <x v="2"/>
    </i>
    <i>
      <x v="25"/>
      <x v="3"/>
    </i>
    <i>
      <x v="26"/>
      <x/>
    </i>
    <i>
      <x v="27"/>
      <x v="2"/>
    </i>
    <i>
      <x v="28"/>
      <x v="1"/>
    </i>
    <i>
      <x v="29"/>
      <x v="2"/>
    </i>
    <i>
      <x v="30"/>
      <x/>
    </i>
    <i>
      <x v="31"/>
      <x v="3"/>
    </i>
    <i>
      <x v="32"/>
      <x v="2"/>
    </i>
    <i>
      <x v="33"/>
      <x v="2"/>
    </i>
    <i>
      <x v="34"/>
      <x v="3"/>
    </i>
    <i>
      <x v="35"/>
      <x v="2"/>
    </i>
  </rowItems>
  <colFields count="1">
    <field x="-2"/>
  </colFields>
  <colItems count="2">
    <i>
      <x/>
    </i>
    <i i="1">
      <x v="1"/>
    </i>
  </colItems>
  <dataFields count="2">
    <dataField name="Sum of Total Selling Value" fld="12"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0C5D96-B1B9-49E3-86DE-9C31B5FA1F95}" name="PaymentMode"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AO1:AP3" firstHeaderRow="1" firstDataRow="1" firstDataCol="1"/>
  <pivotFields count="16">
    <pivotField numFmtId="14" showAll="0"/>
    <pivotField showAll="0"/>
    <pivotField showAll="0"/>
    <pivotField showAll="0">
      <items count="4">
        <item x="0"/>
        <item x="1"/>
        <item x="2"/>
        <item t="default"/>
      </items>
    </pivotField>
    <pivotField axis="axisRow" showAll="0">
      <items count="3">
        <item x="0"/>
        <item x="1"/>
        <item t="default"/>
      </items>
    </pivotField>
    <pivotField numFmtId="164" showAll="0"/>
    <pivotField showAll="0"/>
    <pivotField showAll="0"/>
    <pivotField showAll="0"/>
    <pivotField numFmtId="165" showAll="0"/>
    <pivotField numFmtId="165" showAll="0"/>
    <pivotField numFmtId="165" showAll="0"/>
    <pivotField dataField="1" numFmtId="165" showAll="0"/>
    <pivotField showAll="0"/>
    <pivotField showAll="0">
      <items count="13">
        <item x="0"/>
        <item x="1"/>
        <item x="2"/>
        <item x="3"/>
        <item x="4"/>
        <item x="5"/>
        <item x="6"/>
        <item x="7"/>
        <item x="8"/>
        <item x="9"/>
        <item x="10"/>
        <item x="11"/>
        <item t="default"/>
      </items>
    </pivotField>
    <pivotField showAll="0">
      <items count="5">
        <item x="3"/>
        <item x="0"/>
        <item x="1"/>
        <item x="2"/>
        <item t="default"/>
      </items>
    </pivotField>
  </pivotFields>
  <rowFields count="1">
    <field x="4"/>
  </rowFields>
  <rowItems count="2">
    <i>
      <x/>
    </i>
    <i>
      <x v="1"/>
    </i>
  </rowItems>
  <colItems count="1">
    <i/>
  </colItems>
  <dataFields count="1">
    <dataField name="Sum of Total Selling Value" fld="12"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4" count="1" selected="0">
            <x v="0"/>
          </reference>
        </references>
      </pivotArea>
    </chartFormat>
    <chartFormat chart="5"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4D670D-2D9F-479F-928A-200A7F4AECDB}" name="SaleType"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location ref="AL1:AM4" firstHeaderRow="1" firstDataRow="1" firstDataCol="1"/>
  <pivotFields count="16">
    <pivotField numFmtId="14" showAll="0"/>
    <pivotField showAll="0"/>
    <pivotField showAll="0"/>
    <pivotField axis="axisRow" showAll="0">
      <items count="4">
        <item x="0"/>
        <item x="1"/>
        <item x="2"/>
        <item t="default"/>
      </items>
    </pivotField>
    <pivotField showAll="0">
      <items count="3">
        <item x="0"/>
        <item x="1"/>
        <item t="default"/>
      </items>
    </pivotField>
    <pivotField numFmtId="164" showAll="0"/>
    <pivotField showAll="0"/>
    <pivotField showAll="0"/>
    <pivotField showAll="0"/>
    <pivotField numFmtId="165" showAll="0"/>
    <pivotField numFmtId="165" showAll="0"/>
    <pivotField numFmtId="165" showAll="0"/>
    <pivotField dataField="1" numFmtId="165" showAll="0"/>
    <pivotField showAll="0"/>
    <pivotField showAll="0">
      <items count="13">
        <item x="0"/>
        <item x="1"/>
        <item x="2"/>
        <item x="3"/>
        <item x="4"/>
        <item x="5"/>
        <item x="6"/>
        <item x="7"/>
        <item x="8"/>
        <item x="9"/>
        <item x="10"/>
        <item x="11"/>
        <item t="default"/>
      </items>
    </pivotField>
    <pivotField showAll="0">
      <items count="5">
        <item x="3"/>
        <item x="0"/>
        <item x="1"/>
        <item x="2"/>
        <item t="default"/>
      </items>
    </pivotField>
  </pivotFields>
  <rowFields count="1">
    <field x="3"/>
  </rowFields>
  <rowItems count="3">
    <i>
      <x/>
    </i>
    <i>
      <x v="1"/>
    </i>
    <i>
      <x v="2"/>
    </i>
  </rowItems>
  <colItems count="1">
    <i/>
  </colItems>
  <dataFields count="1">
    <dataField name="Sum of Total Selling Value" fld="12" baseField="0" baseItem="0"/>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YPE" xr10:uid="{EABABA51-34CA-4219-925D-87F931A76A28}" sourceName="SALE TYPE">
  <pivotTables>
    <pivotTable tabId="3" name="Daily"/>
    <pivotTable tabId="3" name="Category"/>
    <pivotTable tabId="3" name="Monthly"/>
    <pivotTable tabId="3" name="PaymentMode"/>
    <pivotTable tabId="3" name="Product"/>
    <pivotTable tabId="3" name="SaleType"/>
    <pivotTable tabId="3" name="TotalSales"/>
  </pivotTables>
  <data>
    <tabular pivotCacheId="168878272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8438951-270A-4637-AC2E-CF3F4BF97B4A}" sourceName="PAYMENT MODE">
  <pivotTables>
    <pivotTable tabId="3" name="Daily"/>
    <pivotTable tabId="3" name="Category"/>
    <pivotTable tabId="3" name="Monthly"/>
    <pivotTable tabId="3" name="PaymentMode"/>
    <pivotTable tabId="3" name="Product"/>
    <pivotTable tabId="3" name="SaleType"/>
    <pivotTable tabId="3" name="TotalSales"/>
  </pivotTables>
  <data>
    <tabular pivotCacheId="168878272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A19E317-3C80-48D7-99FB-8F29B5C414AB}" sourceName="Month">
  <pivotTables>
    <pivotTable tabId="3" name="Daily"/>
    <pivotTable tabId="3" name="Category"/>
    <pivotTable tabId="3" name="Monthly"/>
    <pivotTable tabId="3" name="PaymentMode"/>
    <pivotTable tabId="3" name="Product"/>
    <pivotTable tabId="3" name="SaleType"/>
    <pivotTable tabId="3" name="TotalSales"/>
  </pivotTables>
  <data>
    <tabular pivotCacheId="1688782723">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3F99E4-AA97-4952-830E-2C2B9207313B}" sourceName="Year">
  <pivotTables>
    <pivotTable tabId="3" name="Daily"/>
    <pivotTable tabId="3" name="Category"/>
    <pivotTable tabId="3" name="Monthly"/>
    <pivotTable tabId="3" name="PaymentMode"/>
    <pivotTable tabId="3" name="Product"/>
    <pivotTable tabId="3" name="SaleType"/>
    <pivotTable tabId="3" name="TotalSales"/>
  </pivotTables>
  <data>
    <tabular pivotCacheId="168878272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TYPE" xr10:uid="{3A74279E-73A0-44A1-99C4-B9246F7A85D7}" cache="Slicer_SALE_TYPE" caption="SALE TYPE" columnCount="3" style="SlicerStyleLight1 2" rowHeight="241300"/>
  <slicer name="PAYMENT MODE" xr10:uid="{9D083748-29B1-42AF-9441-1A92C417D768}" cache="Slicer_PAYMENT_MODE" caption="PAYMENT MODE" columnCount="2" style="SlicerStyleLight1 2" rowHeight="241300"/>
  <slicer name="Month" xr10:uid="{DEA46028-48D5-487F-AB6E-3E3C937B14F7}" cache="Slicer_Month" caption="Month" style="SlicerStyleLight1 2" rowHeight="241300"/>
  <slicer name="Year" xr10:uid="{242DDB8A-5908-4B26-9FD1-C2DFFA15D68A}" cache="Slicer_Year" caption="Year"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Data" displayName="MasterData" ref="A1:F46">
  <autoFilter ref="A1:F46" xr:uid="{00000000-0009-0000-0100-000001000000}"/>
  <tableColumns count="6">
    <tableColumn id="1" xr3:uid="{00000000-0010-0000-0000-000001000000}" name="PRODUCT ID"/>
    <tableColumn id="2" xr3:uid="{00000000-0010-0000-0000-000002000000}" name="PRODUCT"/>
    <tableColumn id="3" xr3:uid="{00000000-0010-0000-0000-000003000000}" name="CATEGORY"/>
    <tableColumn id="4" xr3:uid="{00000000-0010-0000-0000-000004000000}" name="UOM"/>
    <tableColumn id="5" xr3:uid="{00000000-0010-0000-0000-000005000000}" name="BUYING PRICE"/>
    <tableColumn id="6" xr3:uid="{00000000-0010-0000-0000-000006000000}" name="SELLING PR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putData" displayName="InputData" ref="A1:P62">
  <autoFilter ref="A1:P62" xr:uid="{00000000-0009-0000-0100-000002000000}"/>
  <tableColumns count="16">
    <tableColumn id="1" xr3:uid="{00000000-0010-0000-0100-000001000000}" name="DATE"/>
    <tableColumn id="2" xr3:uid="{00000000-0010-0000-0100-000002000000}" name="PRODUCT ID"/>
    <tableColumn id="3" xr3:uid="{00000000-0010-0000-0100-000003000000}" name="QUANTITY"/>
    <tableColumn id="4" xr3:uid="{00000000-0010-0000-0100-000004000000}" name="SALE TYPE"/>
    <tableColumn id="5" xr3:uid="{00000000-0010-0000-0100-000005000000}" name="PAYMENT MODE"/>
    <tableColumn id="6" xr3:uid="{00000000-0010-0000-0100-000006000000}" name="DISCOUNT %"/>
    <tableColumn id="8" xr3:uid="{987F7EC6-719C-4784-BBA9-2B7560329A65}" name="PRODUCT" dataDxfId="10">
      <calculatedColumnFormula>VLOOKUP(InputData[[#This Row],[PRODUCT ID]],MasterData[#All],2,0)</calculatedColumnFormula>
    </tableColumn>
    <tableColumn id="9" xr3:uid="{7E4A787B-EE0C-4B4C-ADC4-0D48B12DAB82}" name="CATEGORY" dataDxfId="9">
      <calculatedColumnFormula>VLOOKUP(InputData[[#This Row],[PRODUCT ID]],MasterData[#All],3,0)</calculatedColumnFormula>
    </tableColumn>
    <tableColumn id="10" xr3:uid="{ED8CB1A0-B862-4E5F-92E6-4BA6EC9F3CB8}" name="UOM" dataDxfId="8">
      <calculatedColumnFormula>VLOOKUP(InputData[[#This Row],[PRODUCT ID]],MasterData[#All],4,0)</calculatedColumnFormula>
    </tableColumn>
    <tableColumn id="11" xr3:uid="{2159C643-44D6-44B6-80D1-7B3A14D5493F}" name="BUYING PRICE" dataDxfId="7">
      <calculatedColumnFormula>VLOOKUP(InputData[[#This Row],[PRODUCT ID]],MasterData[#All],5,0)</calculatedColumnFormula>
    </tableColumn>
    <tableColumn id="12" xr3:uid="{67DF6DC3-39B5-4688-967E-605C080A80E9}" name="SELLING PRICE" dataDxfId="6">
      <calculatedColumnFormula>VLOOKUP(InputData[[#This Row],[PRODUCT ID]],MasterData[#All],6,0)</calculatedColumnFormula>
    </tableColumn>
    <tableColumn id="13" xr3:uid="{CB65416E-E533-40F1-BEDA-2CED8364878B}" name="Total Buying Value" dataDxfId="5">
      <calculatedColumnFormula>InputData[[#This Row],[BUYING PRICE]]*InputData[[#This Row],[QUANTITY]]</calculatedColumnFormula>
    </tableColumn>
    <tableColumn id="14" xr3:uid="{177DC10A-FEF7-4235-B7DD-6F22119F654F}" name="Total Selling Value" dataDxfId="4">
      <calculatedColumnFormula>InputData[[#This Row],[SELLING PRICE]]*InputData[[#This Row],[QUANTITY]]*(1-InputData[[#This Row],[DISCOUNT %]])</calculatedColumnFormula>
    </tableColumn>
    <tableColumn id="15" xr3:uid="{E0A10F96-4FB9-4A30-A72C-C803F5C53856}" name="DAY" dataDxfId="3">
      <calculatedColumnFormula>DAY(InputData[[#This Row],[DATE]])</calculatedColumnFormula>
    </tableColumn>
    <tableColumn id="16" xr3:uid="{1C7EBF61-2440-4F6B-BBD9-93E030D8CA97}" name="Month" dataDxfId="2">
      <calculatedColumnFormula>TEXT(InputData[[#This Row],[DATE]],"mmm")</calculatedColumnFormula>
    </tableColumn>
    <tableColumn id="17" xr3:uid="{1DC64DB5-D7BE-4AC3-BF6F-6C0C8BEBFEDF}" name="Year" dataDxfId="1">
      <calculatedColumnFormula>YEAR(InputData[[#This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C00000"/>
      </a:accent1>
      <a:accent2>
        <a:srgbClr val="FFFF00"/>
      </a:accent2>
      <a:accent3>
        <a:srgbClr val="00B050"/>
      </a:accent3>
      <a:accent4>
        <a:srgbClr val="0070C0"/>
      </a:accent4>
      <a:accent5>
        <a:srgbClr val="7030A0"/>
      </a:accent5>
      <a:accent6>
        <a:srgbClr val="002060"/>
      </a:accent6>
      <a:hlink>
        <a:srgbClr val="FF0000"/>
      </a:hlink>
      <a:folHlink>
        <a:srgbClr val="7030A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workbookViewId="0">
      <selection activeCell="C9" sqref="C9"/>
    </sheetView>
  </sheetViews>
  <sheetFormatPr defaultRowHeight="14.5" x14ac:dyDescent="0.35"/>
  <cols>
    <col min="1" max="3" width="12" customWidth="1"/>
    <col min="4" max="4" width="8" customWidth="1"/>
    <col min="5" max="6" width="14" customWidth="1"/>
  </cols>
  <sheetData>
    <row r="1" spans="1:6" x14ac:dyDescent="0.35">
      <c r="A1" s="1" t="s">
        <v>0</v>
      </c>
      <c r="B1" s="1" t="s">
        <v>1</v>
      </c>
      <c r="C1" s="1" t="s">
        <v>2</v>
      </c>
      <c r="D1" s="1" t="s">
        <v>3</v>
      </c>
      <c r="E1" s="1" t="s">
        <v>4</v>
      </c>
      <c r="F1" s="1" t="s">
        <v>5</v>
      </c>
    </row>
    <row r="2" spans="1:6" x14ac:dyDescent="0.35">
      <c r="A2" s="2" t="s">
        <v>6</v>
      </c>
      <c r="B2" s="2" t="s">
        <v>7</v>
      </c>
      <c r="C2" s="2" t="s">
        <v>8</v>
      </c>
      <c r="D2" s="2" t="s">
        <v>9</v>
      </c>
      <c r="E2" s="2">
        <v>11</v>
      </c>
      <c r="F2" s="2">
        <v>14.4</v>
      </c>
    </row>
    <row r="3" spans="1:6" x14ac:dyDescent="0.35">
      <c r="A3" s="2" t="s">
        <v>10</v>
      </c>
      <c r="B3" s="2" t="s">
        <v>11</v>
      </c>
      <c r="C3" s="2" t="s">
        <v>8</v>
      </c>
      <c r="D3" s="2" t="s">
        <v>12</v>
      </c>
      <c r="E3" s="2">
        <v>62</v>
      </c>
      <c r="F3" s="2">
        <v>68.13</v>
      </c>
    </row>
    <row r="4" spans="1:6" x14ac:dyDescent="0.35">
      <c r="A4" s="2" t="s">
        <v>13</v>
      </c>
      <c r="B4" s="2" t="s">
        <v>14</v>
      </c>
      <c r="C4" s="2" t="s">
        <v>8</v>
      </c>
      <c r="D4" s="2" t="s">
        <v>9</v>
      </c>
      <c r="E4" s="2">
        <v>144</v>
      </c>
      <c r="F4" s="2">
        <v>155.58000000000001</v>
      </c>
    </row>
    <row r="5" spans="1:6" x14ac:dyDescent="0.35">
      <c r="A5" s="2" t="s">
        <v>15</v>
      </c>
      <c r="B5" s="2" t="s">
        <v>16</v>
      </c>
      <c r="C5" s="2" t="s">
        <v>8</v>
      </c>
      <c r="D5" s="2" t="s">
        <v>17</v>
      </c>
      <c r="E5" s="2">
        <v>13</v>
      </c>
      <c r="F5" s="2">
        <v>13.79</v>
      </c>
    </row>
    <row r="6" spans="1:6" x14ac:dyDescent="0.35">
      <c r="A6" s="2" t="s">
        <v>18</v>
      </c>
      <c r="B6" s="2" t="s">
        <v>19</v>
      </c>
      <c r="C6" s="2" t="s">
        <v>8</v>
      </c>
      <c r="D6" s="2" t="s">
        <v>12</v>
      </c>
      <c r="E6" s="2">
        <v>64</v>
      </c>
      <c r="F6" s="2">
        <v>78.52</v>
      </c>
    </row>
    <row r="7" spans="1:6" x14ac:dyDescent="0.35">
      <c r="A7" s="2" t="s">
        <v>20</v>
      </c>
      <c r="B7" s="2" t="s">
        <v>21</v>
      </c>
      <c r="C7" s="2" t="s">
        <v>8</v>
      </c>
      <c r="D7" s="2" t="s">
        <v>9</v>
      </c>
      <c r="E7" s="2">
        <v>148</v>
      </c>
      <c r="F7" s="2">
        <v>165.7</v>
      </c>
    </row>
    <row r="8" spans="1:6" x14ac:dyDescent="0.35">
      <c r="A8" s="2" t="s">
        <v>22</v>
      </c>
      <c r="B8" s="2" t="s">
        <v>23</v>
      </c>
      <c r="C8" s="2" t="s">
        <v>8</v>
      </c>
      <c r="D8" s="2" t="s">
        <v>24</v>
      </c>
      <c r="E8" s="2">
        <v>112</v>
      </c>
      <c r="F8" s="2">
        <v>126.24</v>
      </c>
    </row>
    <row r="9" spans="1:6" x14ac:dyDescent="0.35">
      <c r="A9" s="2" t="s">
        <v>25</v>
      </c>
      <c r="B9" s="2" t="s">
        <v>26</v>
      </c>
      <c r="C9" s="2" t="s">
        <v>8</v>
      </c>
      <c r="D9" s="2" t="s">
        <v>24</v>
      </c>
      <c r="E9" s="2">
        <v>76</v>
      </c>
      <c r="F9" s="2">
        <v>101.33</v>
      </c>
    </row>
    <row r="10" spans="1:6" x14ac:dyDescent="0.35">
      <c r="A10" s="2" t="s">
        <v>27</v>
      </c>
      <c r="B10" s="2" t="s">
        <v>28</v>
      </c>
      <c r="C10" s="2" t="s">
        <v>8</v>
      </c>
      <c r="D10" s="2" t="s">
        <v>9</v>
      </c>
      <c r="E10" s="2">
        <v>45</v>
      </c>
      <c r="F10" s="2">
        <v>58.25</v>
      </c>
    </row>
    <row r="11" spans="1:6" x14ac:dyDescent="0.35">
      <c r="A11" s="2" t="s">
        <v>29</v>
      </c>
      <c r="B11" s="2" t="s">
        <v>30</v>
      </c>
      <c r="C11" s="2" t="s">
        <v>31</v>
      </c>
      <c r="D11" s="2" t="s">
        <v>12</v>
      </c>
      <c r="E11" s="2">
        <v>76</v>
      </c>
      <c r="F11" s="2">
        <v>83.94</v>
      </c>
    </row>
    <row r="12" spans="1:6" x14ac:dyDescent="0.35">
      <c r="A12" s="2" t="s">
        <v>32</v>
      </c>
      <c r="B12" s="2" t="s">
        <v>33</v>
      </c>
      <c r="C12" s="2" t="s">
        <v>31</v>
      </c>
      <c r="D12" s="2" t="s">
        <v>12</v>
      </c>
      <c r="E12" s="2">
        <v>31</v>
      </c>
      <c r="F12" s="2">
        <v>33.56</v>
      </c>
    </row>
    <row r="13" spans="1:6" x14ac:dyDescent="0.35">
      <c r="A13" s="2" t="s">
        <v>34</v>
      </c>
      <c r="B13" s="2" t="s">
        <v>35</v>
      </c>
      <c r="C13" s="2" t="s">
        <v>31</v>
      </c>
      <c r="D13" s="2" t="s">
        <v>9</v>
      </c>
      <c r="E13" s="2">
        <v>96</v>
      </c>
      <c r="F13" s="2">
        <v>129.28</v>
      </c>
    </row>
    <row r="14" spans="1:6" x14ac:dyDescent="0.35">
      <c r="A14" s="2" t="s">
        <v>36</v>
      </c>
      <c r="B14" s="2" t="s">
        <v>37</v>
      </c>
      <c r="C14" s="2" t="s">
        <v>31</v>
      </c>
      <c r="D14" s="2" t="s">
        <v>24</v>
      </c>
      <c r="E14" s="2">
        <v>72</v>
      </c>
      <c r="F14" s="2">
        <v>95.94</v>
      </c>
    </row>
    <row r="15" spans="1:6" x14ac:dyDescent="0.35">
      <c r="A15" s="2" t="s">
        <v>38</v>
      </c>
      <c r="B15" s="2" t="s">
        <v>39</v>
      </c>
      <c r="C15" s="2" t="s">
        <v>31</v>
      </c>
      <c r="D15" s="2" t="s">
        <v>17</v>
      </c>
      <c r="E15" s="2">
        <v>142</v>
      </c>
      <c r="F15" s="2">
        <v>155.30000000000001</v>
      </c>
    </row>
    <row r="16" spans="1:6" x14ac:dyDescent="0.35">
      <c r="A16" s="2" t="s">
        <v>40</v>
      </c>
      <c r="B16" s="2" t="s">
        <v>41</v>
      </c>
      <c r="C16" s="2" t="s">
        <v>31</v>
      </c>
      <c r="D16" s="2" t="s">
        <v>17</v>
      </c>
      <c r="E16" s="2">
        <v>25</v>
      </c>
      <c r="F16" s="2">
        <v>31.08</v>
      </c>
    </row>
    <row r="17" spans="1:6" x14ac:dyDescent="0.35">
      <c r="A17" s="2" t="s">
        <v>42</v>
      </c>
      <c r="B17" s="2" t="s">
        <v>43</v>
      </c>
      <c r="C17" s="2" t="s">
        <v>31</v>
      </c>
      <c r="D17" s="2" t="s">
        <v>24</v>
      </c>
      <c r="E17" s="2">
        <v>97</v>
      </c>
      <c r="F17" s="2">
        <v>121.45</v>
      </c>
    </row>
    <row r="18" spans="1:6" x14ac:dyDescent="0.35">
      <c r="A18" s="2" t="s">
        <v>44</v>
      </c>
      <c r="B18" s="2" t="s">
        <v>45</v>
      </c>
      <c r="C18" s="2" t="s">
        <v>31</v>
      </c>
      <c r="D18" s="2" t="s">
        <v>9</v>
      </c>
      <c r="E18" s="2">
        <v>16</v>
      </c>
      <c r="F18" s="2">
        <v>20.5</v>
      </c>
    </row>
    <row r="19" spans="1:6" x14ac:dyDescent="0.35">
      <c r="A19" s="2" t="s">
        <v>46</v>
      </c>
      <c r="B19" s="2" t="s">
        <v>47</v>
      </c>
      <c r="C19" s="2" t="s">
        <v>31</v>
      </c>
      <c r="D19" s="2" t="s">
        <v>12</v>
      </c>
      <c r="E19" s="2">
        <v>25</v>
      </c>
      <c r="F19" s="2">
        <v>33.729999999999997</v>
      </c>
    </row>
    <row r="20" spans="1:6" x14ac:dyDescent="0.35">
      <c r="A20" s="2" t="s">
        <v>48</v>
      </c>
      <c r="B20" s="2" t="s">
        <v>49</v>
      </c>
      <c r="C20" s="2" t="s">
        <v>50</v>
      </c>
      <c r="D20" s="2" t="s">
        <v>9</v>
      </c>
      <c r="E20" s="2">
        <v>102</v>
      </c>
      <c r="F20" s="2">
        <v>117.02</v>
      </c>
    </row>
    <row r="21" spans="1:6" x14ac:dyDescent="0.35">
      <c r="A21" s="2" t="s">
        <v>51</v>
      </c>
      <c r="B21" s="2" t="s">
        <v>52</v>
      </c>
      <c r="C21" s="2" t="s">
        <v>50</v>
      </c>
      <c r="D21" s="2" t="s">
        <v>12</v>
      </c>
      <c r="E21" s="2">
        <v>46</v>
      </c>
      <c r="F21" s="2">
        <v>54.26</v>
      </c>
    </row>
    <row r="22" spans="1:6" x14ac:dyDescent="0.35">
      <c r="A22" s="2" t="s">
        <v>53</v>
      </c>
      <c r="B22" s="2" t="s">
        <v>54</v>
      </c>
      <c r="C22" s="2" t="s">
        <v>50</v>
      </c>
      <c r="D22" s="2" t="s">
        <v>12</v>
      </c>
      <c r="E22" s="2">
        <v>73</v>
      </c>
      <c r="F22" s="2">
        <v>94.58</v>
      </c>
    </row>
    <row r="23" spans="1:6" x14ac:dyDescent="0.35">
      <c r="A23" s="2" t="s">
        <v>55</v>
      </c>
      <c r="B23" s="2" t="s">
        <v>56</v>
      </c>
      <c r="C23" s="2" t="s">
        <v>50</v>
      </c>
      <c r="D23" s="2" t="s">
        <v>9</v>
      </c>
      <c r="E23" s="2">
        <v>48</v>
      </c>
      <c r="F23" s="2">
        <v>59.37</v>
      </c>
    </row>
    <row r="24" spans="1:6" x14ac:dyDescent="0.35">
      <c r="A24" s="2" t="s">
        <v>57</v>
      </c>
      <c r="B24" s="2" t="s">
        <v>58</v>
      </c>
      <c r="C24" s="2" t="s">
        <v>50</v>
      </c>
      <c r="D24" s="2" t="s">
        <v>12</v>
      </c>
      <c r="E24" s="2">
        <v>46</v>
      </c>
      <c r="F24" s="2">
        <v>55.74</v>
      </c>
    </row>
    <row r="25" spans="1:6" x14ac:dyDescent="0.35">
      <c r="A25" s="2" t="s">
        <v>59</v>
      </c>
      <c r="B25" s="2" t="s">
        <v>60</v>
      </c>
      <c r="C25" s="2" t="s">
        <v>50</v>
      </c>
      <c r="D25" s="2" t="s">
        <v>12</v>
      </c>
      <c r="E25" s="2">
        <v>147</v>
      </c>
      <c r="F25" s="2">
        <v>165.65</v>
      </c>
    </row>
    <row r="26" spans="1:6" x14ac:dyDescent="0.35">
      <c r="A26" s="2" t="s">
        <v>61</v>
      </c>
      <c r="B26" s="2" t="s">
        <v>62</v>
      </c>
      <c r="C26" s="2" t="s">
        <v>50</v>
      </c>
      <c r="D26" s="2" t="s">
        <v>12</v>
      </c>
      <c r="E26" s="2">
        <v>19</v>
      </c>
      <c r="F26" s="2">
        <v>21.47</v>
      </c>
    </row>
    <row r="27" spans="1:6" x14ac:dyDescent="0.35">
      <c r="A27" s="2" t="s">
        <v>63</v>
      </c>
      <c r="B27" s="2" t="s">
        <v>64</v>
      </c>
      <c r="C27" s="2" t="s">
        <v>50</v>
      </c>
      <c r="D27" s="2" t="s">
        <v>9</v>
      </c>
      <c r="E27" s="2">
        <v>85</v>
      </c>
      <c r="F27" s="2">
        <v>101.18</v>
      </c>
    </row>
    <row r="28" spans="1:6" x14ac:dyDescent="0.35">
      <c r="A28" s="2" t="s">
        <v>65</v>
      </c>
      <c r="B28" s="2" t="s">
        <v>66</v>
      </c>
      <c r="C28" s="2" t="s">
        <v>50</v>
      </c>
      <c r="D28" s="2" t="s">
        <v>9</v>
      </c>
      <c r="E28" s="2">
        <v>59</v>
      </c>
      <c r="F28" s="2">
        <v>80.81</v>
      </c>
    </row>
    <row r="29" spans="1:6" x14ac:dyDescent="0.35">
      <c r="A29" s="2" t="s">
        <v>67</v>
      </c>
      <c r="B29" s="2" t="s">
        <v>68</v>
      </c>
      <c r="C29" s="2" t="s">
        <v>69</v>
      </c>
      <c r="D29" s="2" t="s">
        <v>24</v>
      </c>
      <c r="E29" s="2">
        <v>85</v>
      </c>
      <c r="F29" s="2">
        <v>95.58</v>
      </c>
    </row>
    <row r="30" spans="1:6" x14ac:dyDescent="0.35">
      <c r="A30" s="2" t="s">
        <v>70</v>
      </c>
      <c r="B30" s="2" t="s">
        <v>71</v>
      </c>
      <c r="C30" s="2" t="s">
        <v>69</v>
      </c>
      <c r="D30" s="2" t="s">
        <v>17</v>
      </c>
      <c r="E30" s="2">
        <v>106</v>
      </c>
      <c r="F30" s="2">
        <v>144.12</v>
      </c>
    </row>
    <row r="31" spans="1:6" x14ac:dyDescent="0.35">
      <c r="A31" s="2" t="s">
        <v>72</v>
      </c>
      <c r="B31" s="2" t="s">
        <v>73</v>
      </c>
      <c r="C31" s="2" t="s">
        <v>69</v>
      </c>
      <c r="D31" s="2" t="s">
        <v>17</v>
      </c>
      <c r="E31" s="2">
        <v>41</v>
      </c>
      <c r="F31" s="2">
        <v>46.85</v>
      </c>
    </row>
    <row r="32" spans="1:6" x14ac:dyDescent="0.35">
      <c r="A32" s="2" t="s">
        <v>74</v>
      </c>
      <c r="B32" s="2" t="s">
        <v>75</v>
      </c>
      <c r="C32" s="2" t="s">
        <v>69</v>
      </c>
      <c r="D32" s="2" t="s">
        <v>12</v>
      </c>
      <c r="E32" s="2">
        <v>148</v>
      </c>
      <c r="F32" s="2">
        <v>183.32</v>
      </c>
    </row>
    <row r="33" spans="1:6" x14ac:dyDescent="0.35">
      <c r="A33" s="2" t="s">
        <v>76</v>
      </c>
      <c r="B33" s="2" t="s">
        <v>77</v>
      </c>
      <c r="C33" s="2" t="s">
        <v>69</v>
      </c>
      <c r="D33" s="2" t="s">
        <v>24</v>
      </c>
      <c r="E33" s="2">
        <v>114</v>
      </c>
      <c r="F33" s="2">
        <v>155.52000000000001</v>
      </c>
    </row>
    <row r="34" spans="1:6" x14ac:dyDescent="0.35">
      <c r="A34" s="2" t="s">
        <v>78</v>
      </c>
      <c r="B34" s="2" t="s">
        <v>79</v>
      </c>
      <c r="C34" s="2" t="s">
        <v>69</v>
      </c>
      <c r="D34" s="2" t="s">
        <v>17</v>
      </c>
      <c r="E34" s="2">
        <v>97</v>
      </c>
      <c r="F34" s="2">
        <v>109.3</v>
      </c>
    </row>
    <row r="35" spans="1:6" x14ac:dyDescent="0.35">
      <c r="A35" s="2" t="s">
        <v>80</v>
      </c>
      <c r="B35" s="2" t="s">
        <v>81</v>
      </c>
      <c r="C35" s="2" t="s">
        <v>69</v>
      </c>
      <c r="D35" s="2" t="s">
        <v>12</v>
      </c>
      <c r="E35" s="2">
        <v>135</v>
      </c>
      <c r="F35" s="2">
        <v>165.07</v>
      </c>
    </row>
    <row r="36" spans="1:6" x14ac:dyDescent="0.35">
      <c r="A36" s="2" t="s">
        <v>82</v>
      </c>
      <c r="B36" s="2" t="s">
        <v>83</v>
      </c>
      <c r="C36" s="2" t="s">
        <v>69</v>
      </c>
      <c r="D36" s="2" t="s">
        <v>9</v>
      </c>
      <c r="E36" s="2">
        <v>33</v>
      </c>
      <c r="F36" s="2">
        <v>36.42</v>
      </c>
    </row>
    <row r="37" spans="1:6" x14ac:dyDescent="0.35">
      <c r="A37" s="2" t="s">
        <v>84</v>
      </c>
      <c r="B37" s="2" t="s">
        <v>85</v>
      </c>
      <c r="C37" s="2" t="s">
        <v>69</v>
      </c>
      <c r="D37" s="2" t="s">
        <v>12</v>
      </c>
      <c r="E37" s="2">
        <v>113</v>
      </c>
      <c r="F37" s="2">
        <v>142.24</v>
      </c>
    </row>
    <row r="38" spans="1:6" x14ac:dyDescent="0.35">
      <c r="A38" s="2" t="s">
        <v>86</v>
      </c>
      <c r="B38" s="2" t="s">
        <v>87</v>
      </c>
      <c r="C38" s="2" t="s">
        <v>8</v>
      </c>
      <c r="D38" s="2" t="s">
        <v>17</v>
      </c>
      <c r="E38" s="2">
        <v>102</v>
      </c>
      <c r="F38" s="2">
        <v>128.37</v>
      </c>
    </row>
    <row r="39" spans="1:6" x14ac:dyDescent="0.35">
      <c r="A39" s="2" t="s">
        <v>88</v>
      </c>
      <c r="B39" s="2" t="s">
        <v>89</v>
      </c>
      <c r="C39" s="2" t="s">
        <v>50</v>
      </c>
      <c r="D39" s="2" t="s">
        <v>17</v>
      </c>
      <c r="E39" s="2">
        <v>140</v>
      </c>
      <c r="F39" s="2">
        <v>159.32</v>
      </c>
    </row>
    <row r="40" spans="1:6" x14ac:dyDescent="0.35">
      <c r="A40" s="2" t="s">
        <v>90</v>
      </c>
      <c r="B40" s="2" t="s">
        <v>91</v>
      </c>
      <c r="C40" s="2" t="s">
        <v>31</v>
      </c>
      <c r="D40" s="2" t="s">
        <v>24</v>
      </c>
      <c r="E40" s="2">
        <v>7</v>
      </c>
      <c r="F40" s="2">
        <v>9.02</v>
      </c>
    </row>
    <row r="41" spans="1:6" x14ac:dyDescent="0.35">
      <c r="A41" s="2" t="s">
        <v>92</v>
      </c>
      <c r="B41" s="2" t="s">
        <v>93</v>
      </c>
      <c r="C41" s="2" t="s">
        <v>69</v>
      </c>
      <c r="D41" s="2" t="s">
        <v>9</v>
      </c>
      <c r="E41" s="2">
        <v>142</v>
      </c>
      <c r="F41" s="2">
        <v>186.42</v>
      </c>
    </row>
    <row r="42" spans="1:6" x14ac:dyDescent="0.35">
      <c r="A42" s="2" t="s">
        <v>94</v>
      </c>
      <c r="B42" s="2" t="s">
        <v>95</v>
      </c>
      <c r="C42" s="2" t="s">
        <v>31</v>
      </c>
      <c r="D42" s="2" t="s">
        <v>12</v>
      </c>
      <c r="E42" s="2">
        <v>33</v>
      </c>
      <c r="F42" s="2">
        <v>38.04</v>
      </c>
    </row>
    <row r="43" spans="1:6" x14ac:dyDescent="0.35">
      <c r="A43" s="2" t="s">
        <v>96</v>
      </c>
      <c r="B43" s="2" t="s">
        <v>97</v>
      </c>
      <c r="C43" s="2" t="s">
        <v>50</v>
      </c>
      <c r="D43" s="2" t="s">
        <v>12</v>
      </c>
      <c r="E43" s="2">
        <v>121</v>
      </c>
      <c r="F43" s="2">
        <v>127.19</v>
      </c>
    </row>
    <row r="44" spans="1:6" x14ac:dyDescent="0.35">
      <c r="A44" s="2" t="s">
        <v>98</v>
      </c>
      <c r="B44" s="2" t="s">
        <v>99</v>
      </c>
      <c r="C44" s="2" t="s">
        <v>31</v>
      </c>
      <c r="D44" s="2" t="s">
        <v>12</v>
      </c>
      <c r="E44" s="2">
        <v>133</v>
      </c>
      <c r="F44" s="2">
        <v>175.12</v>
      </c>
    </row>
    <row r="45" spans="1:6" x14ac:dyDescent="0.35">
      <c r="A45" s="2" t="s">
        <v>100</v>
      </c>
      <c r="B45" s="2" t="s">
        <v>101</v>
      </c>
      <c r="C45" s="2" t="s">
        <v>31</v>
      </c>
      <c r="D45" s="2" t="s">
        <v>24</v>
      </c>
      <c r="E45" s="2">
        <v>32</v>
      </c>
      <c r="F45" s="2">
        <v>43.35</v>
      </c>
    </row>
    <row r="46" spans="1:6" x14ac:dyDescent="0.35">
      <c r="A46" s="2" t="s">
        <v>102</v>
      </c>
      <c r="B46" s="2" t="s">
        <v>103</v>
      </c>
      <c r="C46" s="2" t="s">
        <v>8</v>
      </c>
      <c r="D46" s="2" t="s">
        <v>12</v>
      </c>
      <c r="E46" s="2">
        <v>134</v>
      </c>
      <c r="F46" s="2">
        <v>169.26</v>
      </c>
    </row>
  </sheetData>
  <phoneticPr fontId="3" type="noConversion"/>
  <dataValidations count="2">
    <dataValidation type="list" allowBlank="1" showInputMessage="1" showErrorMessage="1" sqref="C2:C1048576" xr:uid="{63CECBB3-5BF1-49BF-B9E1-5986F22B23F5}">
      <formula1>"Category01, Category02, Category03, Category04"</formula1>
    </dataValidation>
    <dataValidation type="list" allowBlank="1" showInputMessage="1" showErrorMessage="1" sqref="D2:D1048576" xr:uid="{F9BEABE0-4746-4118-B9CC-B6FBAF5C344F}">
      <formula1>"Kg, Lt, No., Dozon"</formula1>
    </dataValidation>
  </dataValidation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2"/>
  <sheetViews>
    <sheetView workbookViewId="0">
      <selection activeCell="A2" sqref="A2:A61"/>
    </sheetView>
  </sheetViews>
  <sheetFormatPr defaultRowHeight="14.5" x14ac:dyDescent="0.35"/>
  <cols>
    <col min="1" max="1" width="12" customWidth="1"/>
    <col min="2" max="2" width="15.7265625" bestFit="1" customWidth="1"/>
    <col min="3" max="3" width="13.453125" bestFit="1" customWidth="1"/>
    <col min="4" max="4" width="14.36328125" bestFit="1" customWidth="1"/>
    <col min="5" max="5" width="19.54296875" bestFit="1" customWidth="1"/>
    <col min="6" max="6" width="13.7265625" customWidth="1"/>
    <col min="7" max="7" width="13.1796875" bestFit="1" customWidth="1"/>
    <col min="8" max="8" width="14.54296875" bestFit="1" customWidth="1"/>
    <col min="9" max="9" width="7.6328125" bestFit="1" customWidth="1"/>
    <col min="10" max="10" width="17.54296875" style="8" bestFit="1" customWidth="1"/>
    <col min="11" max="11" width="18.36328125" style="8" bestFit="1" customWidth="1"/>
    <col min="12" max="12" width="20.7265625" style="8" bestFit="1" customWidth="1"/>
    <col min="13" max="13" width="20.453125" style="8" bestFit="1" customWidth="1"/>
  </cols>
  <sheetData>
    <row r="1" spans="1:16" x14ac:dyDescent="0.35">
      <c r="A1" s="1" t="s">
        <v>104</v>
      </c>
      <c r="B1" s="1" t="s">
        <v>0</v>
      </c>
      <c r="C1" s="1" t="s">
        <v>105</v>
      </c>
      <c r="D1" s="1" t="s">
        <v>106</v>
      </c>
      <c r="E1" s="1" t="s">
        <v>107</v>
      </c>
      <c r="F1" s="1" t="s">
        <v>108</v>
      </c>
      <c r="G1" s="1" t="s">
        <v>1</v>
      </c>
      <c r="H1" s="1" t="s">
        <v>2</v>
      </c>
      <c r="I1" s="1" t="s">
        <v>3</v>
      </c>
      <c r="J1" s="7" t="s">
        <v>4</v>
      </c>
      <c r="K1" s="7" t="s">
        <v>5</v>
      </c>
      <c r="L1" s="7" t="s">
        <v>113</v>
      </c>
      <c r="M1" s="7" t="s">
        <v>114</v>
      </c>
      <c r="N1" s="1" t="s">
        <v>115</v>
      </c>
      <c r="O1" s="1" t="s">
        <v>116</v>
      </c>
      <c r="P1" s="1" t="s">
        <v>117</v>
      </c>
    </row>
    <row r="2" spans="1:16" x14ac:dyDescent="0.35">
      <c r="A2" s="6">
        <v>44208</v>
      </c>
      <c r="B2" s="3" t="s">
        <v>59</v>
      </c>
      <c r="C2" s="3">
        <v>13</v>
      </c>
      <c r="D2" s="3" t="s">
        <v>109</v>
      </c>
      <c r="E2" s="3" t="s">
        <v>110</v>
      </c>
      <c r="F2" s="4">
        <v>0.1</v>
      </c>
      <c r="G2" t="str">
        <f>VLOOKUP(InputData[[#This Row],[PRODUCT ID]],MasterData[#All],2,0)</f>
        <v>Product24</v>
      </c>
      <c r="H2" t="str">
        <f>VLOOKUP(InputData[[#This Row],[PRODUCT ID]],MasterData[#All],3,0)</f>
        <v>Category03</v>
      </c>
      <c r="I2" t="str">
        <f>VLOOKUP(InputData[[#This Row],[PRODUCT ID]],MasterData[#All],4,0)</f>
        <v>Lt</v>
      </c>
      <c r="J2" s="8">
        <f>VLOOKUP(InputData[[#This Row],[PRODUCT ID]],MasterData[#All],5,0)</f>
        <v>147</v>
      </c>
      <c r="K2" s="8">
        <f>VLOOKUP(InputData[[#This Row],[PRODUCT ID]],MasterData[#All],6,0)</f>
        <v>165.65</v>
      </c>
      <c r="L2" s="8">
        <f>InputData[[#This Row],[BUYING PRICE]]*InputData[[#This Row],[QUANTITY]]</f>
        <v>1911</v>
      </c>
      <c r="M2" s="8">
        <f>InputData[[#This Row],[SELLING PRICE]]*InputData[[#This Row],[QUANTITY]]*(1-InputData[[#This Row],[DISCOUNT %]])</f>
        <v>1938.1050000000002</v>
      </c>
      <c r="N2" s="5">
        <f>DAY(InputData[[#This Row],[DATE]])</f>
        <v>12</v>
      </c>
      <c r="O2" s="5" t="str">
        <f>TEXT(InputData[[#This Row],[DATE]],"mmm")</f>
        <v>Jan</v>
      </c>
      <c r="P2" s="5">
        <f>YEAR(InputData[[#This Row],[DATE]])</f>
        <v>2021</v>
      </c>
    </row>
    <row r="3" spans="1:16" x14ac:dyDescent="0.35">
      <c r="A3" s="6">
        <v>44610</v>
      </c>
      <c r="B3" s="3" t="s">
        <v>76</v>
      </c>
      <c r="C3" s="3">
        <v>1</v>
      </c>
      <c r="D3" s="3" t="s">
        <v>109</v>
      </c>
      <c r="E3" s="3" t="s">
        <v>111</v>
      </c>
      <c r="F3" s="4">
        <v>0</v>
      </c>
      <c r="G3" t="str">
        <f>VLOOKUP(InputData[[#This Row],[PRODUCT ID]],MasterData[#All],2,0)</f>
        <v>Product32</v>
      </c>
      <c r="H3" t="str">
        <f>VLOOKUP(InputData[[#This Row],[PRODUCT ID]],MasterData[#All],3,0)</f>
        <v>Category04</v>
      </c>
      <c r="I3" t="str">
        <f>VLOOKUP(InputData[[#This Row],[PRODUCT ID]],MasterData[#All],4,0)</f>
        <v>No.</v>
      </c>
      <c r="J3" s="8">
        <f>VLOOKUP(InputData[[#This Row],[PRODUCT ID]],MasterData[#All],5,0)</f>
        <v>114</v>
      </c>
      <c r="K3" s="8">
        <f>VLOOKUP(InputData[[#This Row],[PRODUCT ID]],MasterData[#All],6,0)</f>
        <v>155.52000000000001</v>
      </c>
      <c r="L3" s="8">
        <f>InputData[[#This Row],[BUYING PRICE]]*InputData[[#This Row],[QUANTITY]]</f>
        <v>114</v>
      </c>
      <c r="M3" s="8">
        <f>InputData[[#This Row],[SELLING PRICE]]*InputData[[#This Row],[QUANTITY]]*(1-InputData[[#This Row],[DISCOUNT %]])</f>
        <v>155.52000000000001</v>
      </c>
      <c r="N3" s="5">
        <f>DAY(InputData[[#This Row],[DATE]])</f>
        <v>18</v>
      </c>
      <c r="O3" s="5" t="str">
        <f>TEXT(InputData[[#This Row],[DATE]],"mmm")</f>
        <v>Feb</v>
      </c>
      <c r="P3" s="5">
        <f>YEAR(InputData[[#This Row],[DATE]])</f>
        <v>2022</v>
      </c>
    </row>
    <row r="4" spans="1:16" x14ac:dyDescent="0.35">
      <c r="A4" s="6">
        <v>44990</v>
      </c>
      <c r="B4" s="3" t="s">
        <v>15</v>
      </c>
      <c r="C4" s="3">
        <v>4</v>
      </c>
      <c r="D4" s="3" t="s">
        <v>111</v>
      </c>
      <c r="E4" s="3" t="s">
        <v>110</v>
      </c>
      <c r="F4" s="4">
        <v>0</v>
      </c>
      <c r="G4" t="str">
        <f>VLOOKUP(InputData[[#This Row],[PRODUCT ID]],MasterData[#All],2,0)</f>
        <v>Product04</v>
      </c>
      <c r="H4" t="str">
        <f>VLOOKUP(InputData[[#This Row],[PRODUCT ID]],MasterData[#All],3,0)</f>
        <v>Category01</v>
      </c>
      <c r="I4" t="str">
        <f>VLOOKUP(InputData[[#This Row],[PRODUCT ID]],MasterData[#All],4,0)</f>
        <v>Dozon</v>
      </c>
      <c r="J4" s="8">
        <f>VLOOKUP(InputData[[#This Row],[PRODUCT ID]],MasterData[#All],5,0)</f>
        <v>13</v>
      </c>
      <c r="K4" s="8">
        <f>VLOOKUP(InputData[[#This Row],[PRODUCT ID]],MasterData[#All],6,0)</f>
        <v>13.79</v>
      </c>
      <c r="L4" s="8">
        <f>InputData[[#This Row],[BUYING PRICE]]*InputData[[#This Row],[QUANTITY]]</f>
        <v>52</v>
      </c>
      <c r="M4" s="8">
        <f>InputData[[#This Row],[SELLING PRICE]]*InputData[[#This Row],[QUANTITY]]*(1-InputData[[#This Row],[DISCOUNT %]])</f>
        <v>55.16</v>
      </c>
      <c r="N4" s="5">
        <f>DAY(InputData[[#This Row],[DATE]])</f>
        <v>5</v>
      </c>
      <c r="O4" s="5" t="str">
        <f>TEXT(InputData[[#This Row],[DATE]],"mmm")</f>
        <v>Mar</v>
      </c>
      <c r="P4" s="5">
        <f>YEAR(InputData[[#This Row],[DATE]])</f>
        <v>2023</v>
      </c>
    </row>
    <row r="5" spans="1:16" x14ac:dyDescent="0.35">
      <c r="A5" s="6">
        <v>44313</v>
      </c>
      <c r="B5" s="3" t="s">
        <v>76</v>
      </c>
      <c r="C5" s="3">
        <v>14</v>
      </c>
      <c r="D5" s="3" t="s">
        <v>109</v>
      </c>
      <c r="E5" s="3" t="s">
        <v>110</v>
      </c>
      <c r="F5" s="4">
        <v>0</v>
      </c>
      <c r="G5" t="str">
        <f>VLOOKUP(InputData[[#This Row],[PRODUCT ID]],MasterData[#All],2,0)</f>
        <v>Product32</v>
      </c>
      <c r="H5" t="str">
        <f>VLOOKUP(InputData[[#This Row],[PRODUCT ID]],MasterData[#All],3,0)</f>
        <v>Category04</v>
      </c>
      <c r="I5" t="str">
        <f>VLOOKUP(InputData[[#This Row],[PRODUCT ID]],MasterData[#All],4,0)</f>
        <v>No.</v>
      </c>
      <c r="J5" s="8">
        <f>VLOOKUP(InputData[[#This Row],[PRODUCT ID]],MasterData[#All],5,0)</f>
        <v>114</v>
      </c>
      <c r="K5" s="8">
        <f>VLOOKUP(InputData[[#This Row],[PRODUCT ID]],MasterData[#All],6,0)</f>
        <v>155.52000000000001</v>
      </c>
      <c r="L5" s="8">
        <f>InputData[[#This Row],[BUYING PRICE]]*InputData[[#This Row],[QUANTITY]]</f>
        <v>1596</v>
      </c>
      <c r="M5" s="8">
        <f>InputData[[#This Row],[SELLING PRICE]]*InputData[[#This Row],[QUANTITY]]*(1-InputData[[#This Row],[DISCOUNT %]])</f>
        <v>2177.2800000000002</v>
      </c>
      <c r="N5" s="5">
        <f>DAY(InputData[[#This Row],[DATE]])</f>
        <v>27</v>
      </c>
      <c r="O5" s="5" t="str">
        <f>TEXT(InputData[[#This Row],[DATE]],"mmm")</f>
        <v>Apr</v>
      </c>
      <c r="P5" s="5">
        <f>YEAR(InputData[[#This Row],[DATE]])</f>
        <v>2021</v>
      </c>
    </row>
    <row r="6" spans="1:16" x14ac:dyDescent="0.35">
      <c r="A6" s="6">
        <v>44690</v>
      </c>
      <c r="B6" s="3" t="s">
        <v>74</v>
      </c>
      <c r="C6" s="3">
        <v>9</v>
      </c>
      <c r="D6" s="3" t="s">
        <v>109</v>
      </c>
      <c r="E6" s="3" t="s">
        <v>111</v>
      </c>
      <c r="F6" s="4">
        <v>0.1</v>
      </c>
      <c r="G6" t="str">
        <f>VLOOKUP(InputData[[#This Row],[PRODUCT ID]],MasterData[#All],2,0)</f>
        <v>Product31</v>
      </c>
      <c r="H6" t="str">
        <f>VLOOKUP(InputData[[#This Row],[PRODUCT ID]],MasterData[#All],3,0)</f>
        <v>Category04</v>
      </c>
      <c r="I6" t="str">
        <f>VLOOKUP(InputData[[#This Row],[PRODUCT ID]],MasterData[#All],4,0)</f>
        <v>Lt</v>
      </c>
      <c r="J6" s="8">
        <f>VLOOKUP(InputData[[#This Row],[PRODUCT ID]],MasterData[#All],5,0)</f>
        <v>148</v>
      </c>
      <c r="K6" s="8">
        <f>VLOOKUP(InputData[[#This Row],[PRODUCT ID]],MasterData[#All],6,0)</f>
        <v>183.32</v>
      </c>
      <c r="L6" s="8">
        <f>InputData[[#This Row],[BUYING PRICE]]*InputData[[#This Row],[QUANTITY]]</f>
        <v>1332</v>
      </c>
      <c r="M6" s="8">
        <f>InputData[[#This Row],[SELLING PRICE]]*InputData[[#This Row],[QUANTITY]]*(1-InputData[[#This Row],[DISCOUNT %]])</f>
        <v>1484.8919999999998</v>
      </c>
      <c r="N6" s="5">
        <f>DAY(InputData[[#This Row],[DATE]])</f>
        <v>9</v>
      </c>
      <c r="O6" s="5" t="str">
        <f>TEXT(InputData[[#This Row],[DATE]],"mmm")</f>
        <v>May</v>
      </c>
      <c r="P6" s="5">
        <f>YEAR(InputData[[#This Row],[DATE]])</f>
        <v>2022</v>
      </c>
    </row>
    <row r="7" spans="1:16" x14ac:dyDescent="0.35">
      <c r="A7" s="6">
        <v>45091</v>
      </c>
      <c r="B7" s="3" t="s">
        <v>90</v>
      </c>
      <c r="C7" s="3">
        <v>7</v>
      </c>
      <c r="D7" s="3" t="s">
        <v>109</v>
      </c>
      <c r="E7" s="3" t="s">
        <v>110</v>
      </c>
      <c r="F7" s="4">
        <v>0.15</v>
      </c>
      <c r="G7" t="str">
        <f>VLOOKUP(InputData[[#This Row],[PRODUCT ID]],MasterData[#All],2,0)</f>
        <v>Product39</v>
      </c>
      <c r="H7" t="str">
        <f>VLOOKUP(InputData[[#This Row],[PRODUCT ID]],MasterData[#All],3,0)</f>
        <v>Category02</v>
      </c>
      <c r="I7" t="str">
        <f>VLOOKUP(InputData[[#This Row],[PRODUCT ID]],MasterData[#All],4,0)</f>
        <v>No.</v>
      </c>
      <c r="J7" s="8">
        <f>VLOOKUP(InputData[[#This Row],[PRODUCT ID]],MasterData[#All],5,0)</f>
        <v>7</v>
      </c>
      <c r="K7" s="8">
        <f>VLOOKUP(InputData[[#This Row],[PRODUCT ID]],MasterData[#All],6,0)</f>
        <v>9.02</v>
      </c>
      <c r="L7" s="8">
        <f>InputData[[#This Row],[BUYING PRICE]]*InputData[[#This Row],[QUANTITY]]</f>
        <v>49</v>
      </c>
      <c r="M7" s="8">
        <f>InputData[[#This Row],[SELLING PRICE]]*InputData[[#This Row],[QUANTITY]]*(1-InputData[[#This Row],[DISCOUNT %]])</f>
        <v>53.668999999999997</v>
      </c>
      <c r="N7" s="5">
        <f>DAY(InputData[[#This Row],[DATE]])</f>
        <v>14</v>
      </c>
      <c r="O7" s="5" t="str">
        <f>TEXT(InputData[[#This Row],[DATE]],"mmm")</f>
        <v>Jun</v>
      </c>
      <c r="P7" s="5">
        <f>YEAR(InputData[[#This Row],[DATE]])</f>
        <v>2023</v>
      </c>
    </row>
    <row r="8" spans="1:16" x14ac:dyDescent="0.35">
      <c r="A8" s="6">
        <v>44398</v>
      </c>
      <c r="B8" s="3" t="s">
        <v>63</v>
      </c>
      <c r="C8" s="3">
        <v>11</v>
      </c>
      <c r="D8" s="3" t="s">
        <v>111</v>
      </c>
      <c r="E8" s="3" t="s">
        <v>111</v>
      </c>
      <c r="F8" s="4">
        <v>0.05</v>
      </c>
      <c r="G8" t="str">
        <f>VLOOKUP(InputData[[#This Row],[PRODUCT ID]],MasterData[#All],2,0)</f>
        <v>Product26</v>
      </c>
      <c r="H8" t="str">
        <f>VLOOKUP(InputData[[#This Row],[PRODUCT ID]],MasterData[#All],3,0)</f>
        <v>Category03</v>
      </c>
      <c r="I8" t="str">
        <f>VLOOKUP(InputData[[#This Row],[PRODUCT ID]],MasterData[#All],4,0)</f>
        <v>Kg</v>
      </c>
      <c r="J8" s="8">
        <f>VLOOKUP(InputData[[#This Row],[PRODUCT ID]],MasterData[#All],5,0)</f>
        <v>85</v>
      </c>
      <c r="K8" s="8">
        <f>VLOOKUP(InputData[[#This Row],[PRODUCT ID]],MasterData[#All],6,0)</f>
        <v>101.18</v>
      </c>
      <c r="L8" s="8">
        <f>InputData[[#This Row],[BUYING PRICE]]*InputData[[#This Row],[QUANTITY]]</f>
        <v>935</v>
      </c>
      <c r="M8" s="8">
        <f>InputData[[#This Row],[SELLING PRICE]]*InputData[[#This Row],[QUANTITY]]*(1-InputData[[#This Row],[DISCOUNT %]])</f>
        <v>1057.3309999999999</v>
      </c>
      <c r="N8" s="5">
        <f>DAY(InputData[[#This Row],[DATE]])</f>
        <v>21</v>
      </c>
      <c r="O8" s="5" t="str">
        <f>TEXT(InputData[[#This Row],[DATE]],"mmm")</f>
        <v>Jul</v>
      </c>
      <c r="P8" s="5">
        <f>YEAR(InputData[[#This Row],[DATE]])</f>
        <v>2021</v>
      </c>
    </row>
    <row r="9" spans="1:16" x14ac:dyDescent="0.35">
      <c r="A9" s="6">
        <v>44803</v>
      </c>
      <c r="B9" s="3" t="s">
        <v>70</v>
      </c>
      <c r="C9" s="3">
        <v>2</v>
      </c>
      <c r="D9" s="3" t="s">
        <v>109</v>
      </c>
      <c r="E9" s="3" t="s">
        <v>110</v>
      </c>
      <c r="F9" s="4">
        <v>0</v>
      </c>
      <c r="G9" t="str">
        <f>VLOOKUP(InputData[[#This Row],[PRODUCT ID]],MasterData[#All],2,0)</f>
        <v>Product29</v>
      </c>
      <c r="H9" t="str">
        <f>VLOOKUP(InputData[[#This Row],[PRODUCT ID]],MasterData[#All],3,0)</f>
        <v>Category04</v>
      </c>
      <c r="I9" t="str">
        <f>VLOOKUP(InputData[[#This Row],[PRODUCT ID]],MasterData[#All],4,0)</f>
        <v>Dozon</v>
      </c>
      <c r="J9" s="8">
        <f>VLOOKUP(InputData[[#This Row],[PRODUCT ID]],MasterData[#All],5,0)</f>
        <v>106</v>
      </c>
      <c r="K9" s="8">
        <f>VLOOKUP(InputData[[#This Row],[PRODUCT ID]],MasterData[#All],6,0)</f>
        <v>144.12</v>
      </c>
      <c r="L9" s="8">
        <f>InputData[[#This Row],[BUYING PRICE]]*InputData[[#This Row],[QUANTITY]]</f>
        <v>212</v>
      </c>
      <c r="M9" s="8">
        <f>InputData[[#This Row],[SELLING PRICE]]*InputData[[#This Row],[QUANTITY]]*(1-InputData[[#This Row],[DISCOUNT %]])</f>
        <v>288.24</v>
      </c>
      <c r="N9" s="5">
        <f>DAY(InputData[[#This Row],[DATE]])</f>
        <v>30</v>
      </c>
      <c r="O9" s="5" t="str">
        <f>TEXT(InputData[[#This Row],[DATE]],"mmm")</f>
        <v>Aug</v>
      </c>
      <c r="P9" s="5">
        <f>YEAR(InputData[[#This Row],[DATE]])</f>
        <v>2022</v>
      </c>
    </row>
    <row r="10" spans="1:16" x14ac:dyDescent="0.35">
      <c r="A10" s="6">
        <v>45180</v>
      </c>
      <c r="B10" s="3" t="s">
        <v>10</v>
      </c>
      <c r="C10" s="3">
        <v>10</v>
      </c>
      <c r="D10" s="3" t="s">
        <v>111</v>
      </c>
      <c r="E10" s="3" t="s">
        <v>110</v>
      </c>
      <c r="F10" s="4">
        <v>0.1</v>
      </c>
      <c r="G10" t="str">
        <f>VLOOKUP(InputData[[#This Row],[PRODUCT ID]],MasterData[#All],2,0)</f>
        <v>Product02</v>
      </c>
      <c r="H10" t="str">
        <f>VLOOKUP(InputData[[#This Row],[PRODUCT ID]],MasterData[#All],3,0)</f>
        <v>Category01</v>
      </c>
      <c r="I10" t="str">
        <f>VLOOKUP(InputData[[#This Row],[PRODUCT ID]],MasterData[#All],4,0)</f>
        <v>Lt</v>
      </c>
      <c r="J10" s="8">
        <f>VLOOKUP(InputData[[#This Row],[PRODUCT ID]],MasterData[#All],5,0)</f>
        <v>62</v>
      </c>
      <c r="K10" s="8">
        <f>VLOOKUP(InputData[[#This Row],[PRODUCT ID]],MasterData[#All],6,0)</f>
        <v>68.13</v>
      </c>
      <c r="L10" s="8">
        <f>InputData[[#This Row],[BUYING PRICE]]*InputData[[#This Row],[QUANTITY]]</f>
        <v>620</v>
      </c>
      <c r="M10" s="8">
        <f>InputData[[#This Row],[SELLING PRICE]]*InputData[[#This Row],[QUANTITY]]*(1-InputData[[#This Row],[DISCOUNT %]])</f>
        <v>613.16999999999996</v>
      </c>
      <c r="N10" s="5">
        <f>DAY(InputData[[#This Row],[DATE]])</f>
        <v>11</v>
      </c>
      <c r="O10" s="5" t="str">
        <f>TEXT(InputData[[#This Row],[DATE]],"mmm")</f>
        <v>Sep</v>
      </c>
      <c r="P10" s="5">
        <f>YEAR(InputData[[#This Row],[DATE]])</f>
        <v>2023</v>
      </c>
    </row>
    <row r="11" spans="1:16" x14ac:dyDescent="0.35">
      <c r="A11" s="6">
        <v>44477</v>
      </c>
      <c r="B11" s="3" t="s">
        <v>6</v>
      </c>
      <c r="C11" s="3">
        <v>2</v>
      </c>
      <c r="D11" s="3" t="s">
        <v>111</v>
      </c>
      <c r="E11" s="3" t="s">
        <v>110</v>
      </c>
      <c r="F11" s="4">
        <v>0</v>
      </c>
      <c r="G11" t="str">
        <f>VLOOKUP(InputData[[#This Row],[PRODUCT ID]],MasterData[#All],2,0)</f>
        <v>Product01</v>
      </c>
      <c r="H11" t="str">
        <f>VLOOKUP(InputData[[#This Row],[PRODUCT ID]],MasterData[#All],3,0)</f>
        <v>Category01</v>
      </c>
      <c r="I11" t="str">
        <f>VLOOKUP(InputData[[#This Row],[PRODUCT ID]],MasterData[#All],4,0)</f>
        <v>Kg</v>
      </c>
      <c r="J11" s="8">
        <f>VLOOKUP(InputData[[#This Row],[PRODUCT ID]],MasterData[#All],5,0)</f>
        <v>11</v>
      </c>
      <c r="K11" s="8">
        <f>VLOOKUP(InputData[[#This Row],[PRODUCT ID]],MasterData[#All],6,0)</f>
        <v>14.4</v>
      </c>
      <c r="L11" s="8">
        <f>InputData[[#This Row],[BUYING PRICE]]*InputData[[#This Row],[QUANTITY]]</f>
        <v>22</v>
      </c>
      <c r="M11" s="8">
        <f>InputData[[#This Row],[SELLING PRICE]]*InputData[[#This Row],[QUANTITY]]*(1-InputData[[#This Row],[DISCOUNT %]])</f>
        <v>28.8</v>
      </c>
      <c r="N11" s="5">
        <f>DAY(InputData[[#This Row],[DATE]])</f>
        <v>8</v>
      </c>
      <c r="O11" s="5" t="str">
        <f>TEXT(InputData[[#This Row],[DATE]],"mmm")</f>
        <v>Oct</v>
      </c>
      <c r="P11" s="5">
        <f>YEAR(InputData[[#This Row],[DATE]])</f>
        <v>2021</v>
      </c>
    </row>
    <row r="12" spans="1:16" x14ac:dyDescent="0.35">
      <c r="A12" s="6">
        <v>44889</v>
      </c>
      <c r="B12" s="3" t="s">
        <v>13</v>
      </c>
      <c r="C12" s="3">
        <v>14</v>
      </c>
      <c r="D12" s="3" t="s">
        <v>112</v>
      </c>
      <c r="E12" s="3" t="s">
        <v>110</v>
      </c>
      <c r="F12" s="4">
        <v>0.1</v>
      </c>
      <c r="G12" t="str">
        <f>VLOOKUP(InputData[[#This Row],[PRODUCT ID]],MasterData[#All],2,0)</f>
        <v>Product03</v>
      </c>
      <c r="H12" t="str">
        <f>VLOOKUP(InputData[[#This Row],[PRODUCT ID]],MasterData[#All],3,0)</f>
        <v>Category01</v>
      </c>
      <c r="I12" t="str">
        <f>VLOOKUP(InputData[[#This Row],[PRODUCT ID]],MasterData[#All],4,0)</f>
        <v>Kg</v>
      </c>
      <c r="J12" s="8">
        <f>VLOOKUP(InputData[[#This Row],[PRODUCT ID]],MasterData[#All],5,0)</f>
        <v>144</v>
      </c>
      <c r="K12" s="8">
        <f>VLOOKUP(InputData[[#This Row],[PRODUCT ID]],MasterData[#All],6,0)</f>
        <v>155.58000000000001</v>
      </c>
      <c r="L12" s="8">
        <f>InputData[[#This Row],[BUYING PRICE]]*InputData[[#This Row],[QUANTITY]]</f>
        <v>2016</v>
      </c>
      <c r="M12" s="8">
        <f>InputData[[#This Row],[SELLING PRICE]]*InputData[[#This Row],[QUANTITY]]*(1-InputData[[#This Row],[DISCOUNT %]])</f>
        <v>1960.3080000000004</v>
      </c>
      <c r="N12" s="5">
        <f>DAY(InputData[[#This Row],[DATE]])</f>
        <v>24</v>
      </c>
      <c r="O12" s="5" t="str">
        <f>TEXT(InputData[[#This Row],[DATE]],"mmm")</f>
        <v>Nov</v>
      </c>
      <c r="P12" s="5">
        <f>YEAR(InputData[[#This Row],[DATE]])</f>
        <v>2022</v>
      </c>
    </row>
    <row r="13" spans="1:16" x14ac:dyDescent="0.35">
      <c r="A13" s="6">
        <v>45276</v>
      </c>
      <c r="B13" s="3" t="s">
        <v>46</v>
      </c>
      <c r="C13" s="3">
        <v>11</v>
      </c>
      <c r="D13" s="3" t="s">
        <v>112</v>
      </c>
      <c r="E13" s="3" t="s">
        <v>110</v>
      </c>
      <c r="F13" s="4">
        <v>0.1</v>
      </c>
      <c r="G13" t="str">
        <f>VLOOKUP(InputData[[#This Row],[PRODUCT ID]],MasterData[#All],2,0)</f>
        <v>Product18</v>
      </c>
      <c r="H13" t="str">
        <f>VLOOKUP(InputData[[#This Row],[PRODUCT ID]],MasterData[#All],3,0)</f>
        <v>Category02</v>
      </c>
      <c r="I13" t="str">
        <f>VLOOKUP(InputData[[#This Row],[PRODUCT ID]],MasterData[#All],4,0)</f>
        <v>Lt</v>
      </c>
      <c r="J13" s="8">
        <f>VLOOKUP(InputData[[#This Row],[PRODUCT ID]],MasterData[#All],5,0)</f>
        <v>25</v>
      </c>
      <c r="K13" s="8">
        <f>VLOOKUP(InputData[[#This Row],[PRODUCT ID]],MasterData[#All],6,0)</f>
        <v>33.729999999999997</v>
      </c>
      <c r="L13" s="8">
        <f>InputData[[#This Row],[BUYING PRICE]]*InputData[[#This Row],[QUANTITY]]</f>
        <v>275</v>
      </c>
      <c r="M13" s="8">
        <f>InputData[[#This Row],[SELLING PRICE]]*InputData[[#This Row],[QUANTITY]]*(1-InputData[[#This Row],[DISCOUNT %]])</f>
        <v>333.92699999999996</v>
      </c>
      <c r="N13" s="5">
        <f>DAY(InputData[[#This Row],[DATE]])</f>
        <v>16</v>
      </c>
      <c r="O13" s="5" t="str">
        <f>TEXT(InputData[[#This Row],[DATE]],"mmm")</f>
        <v>Dec</v>
      </c>
      <c r="P13" s="5">
        <f>YEAR(InputData[[#This Row],[DATE]])</f>
        <v>2023</v>
      </c>
    </row>
    <row r="14" spans="1:16" x14ac:dyDescent="0.35">
      <c r="A14" s="6">
        <v>44564</v>
      </c>
      <c r="B14" s="3" t="s">
        <v>86</v>
      </c>
      <c r="C14" s="3">
        <v>10</v>
      </c>
      <c r="D14" s="3" t="s">
        <v>112</v>
      </c>
      <c r="E14" s="3" t="s">
        <v>110</v>
      </c>
      <c r="F14" s="4">
        <v>0.05</v>
      </c>
      <c r="G14" t="str">
        <f>VLOOKUP(InputData[[#This Row],[PRODUCT ID]],MasterData[#All],2,0)</f>
        <v>Product37</v>
      </c>
      <c r="H14" t="str">
        <f>VLOOKUP(InputData[[#This Row],[PRODUCT ID]],MasterData[#All],3,0)</f>
        <v>Category01</v>
      </c>
      <c r="I14" t="str">
        <f>VLOOKUP(InputData[[#This Row],[PRODUCT ID]],MasterData[#All],4,0)</f>
        <v>Dozon</v>
      </c>
      <c r="J14" s="8">
        <f>VLOOKUP(InputData[[#This Row],[PRODUCT ID]],MasterData[#All],5,0)</f>
        <v>102</v>
      </c>
      <c r="K14" s="8">
        <f>VLOOKUP(InputData[[#This Row],[PRODUCT ID]],MasterData[#All],6,0)</f>
        <v>128.37</v>
      </c>
      <c r="L14" s="8">
        <f>InputData[[#This Row],[BUYING PRICE]]*InputData[[#This Row],[QUANTITY]]</f>
        <v>1020</v>
      </c>
      <c r="M14" s="8">
        <f>InputData[[#This Row],[SELLING PRICE]]*InputData[[#This Row],[QUANTITY]]*(1-InputData[[#This Row],[DISCOUNT %]])</f>
        <v>1219.5149999999999</v>
      </c>
      <c r="N14" s="5">
        <f>DAY(InputData[[#This Row],[DATE]])</f>
        <v>3</v>
      </c>
      <c r="O14" s="5" t="str">
        <f>TEXT(InputData[[#This Row],[DATE]],"mmm")</f>
        <v>Jan</v>
      </c>
      <c r="P14" s="5">
        <f>YEAR(InputData[[#This Row],[DATE]])</f>
        <v>2022</v>
      </c>
    </row>
    <row r="15" spans="1:16" x14ac:dyDescent="0.35">
      <c r="A15" s="6">
        <v>44979</v>
      </c>
      <c r="B15" s="3" t="s">
        <v>65</v>
      </c>
      <c r="C15" s="3">
        <v>4</v>
      </c>
      <c r="D15" s="3" t="s">
        <v>109</v>
      </c>
      <c r="E15" s="3" t="s">
        <v>110</v>
      </c>
      <c r="F15" s="4">
        <v>0.15</v>
      </c>
      <c r="G15" t="str">
        <f>VLOOKUP(InputData[[#This Row],[PRODUCT ID]],MasterData[#All],2,0)</f>
        <v>Product27</v>
      </c>
      <c r="H15" t="str">
        <f>VLOOKUP(InputData[[#This Row],[PRODUCT ID]],MasterData[#All],3,0)</f>
        <v>Category03</v>
      </c>
      <c r="I15" t="str">
        <f>VLOOKUP(InputData[[#This Row],[PRODUCT ID]],MasterData[#All],4,0)</f>
        <v>Kg</v>
      </c>
      <c r="J15" s="8">
        <f>VLOOKUP(InputData[[#This Row],[PRODUCT ID]],MasterData[#All],5,0)</f>
        <v>59</v>
      </c>
      <c r="K15" s="8">
        <f>VLOOKUP(InputData[[#This Row],[PRODUCT ID]],MasterData[#All],6,0)</f>
        <v>80.81</v>
      </c>
      <c r="L15" s="8">
        <f>InputData[[#This Row],[BUYING PRICE]]*InputData[[#This Row],[QUANTITY]]</f>
        <v>236</v>
      </c>
      <c r="M15" s="8">
        <f>InputData[[#This Row],[SELLING PRICE]]*InputData[[#This Row],[QUANTITY]]*(1-InputData[[#This Row],[DISCOUNT %]])</f>
        <v>274.75400000000002</v>
      </c>
      <c r="N15" s="5">
        <f>DAY(InputData[[#This Row],[DATE]])</f>
        <v>22</v>
      </c>
      <c r="O15" s="5" t="str">
        <f>TEXT(InputData[[#This Row],[DATE]],"mmm")</f>
        <v>Feb</v>
      </c>
      <c r="P15" s="5">
        <f>YEAR(InputData[[#This Row],[DATE]])</f>
        <v>2023</v>
      </c>
    </row>
    <row r="16" spans="1:16" x14ac:dyDescent="0.35">
      <c r="A16" s="6">
        <v>44272</v>
      </c>
      <c r="B16" s="3" t="s">
        <v>57</v>
      </c>
      <c r="C16" s="3">
        <v>7</v>
      </c>
      <c r="D16" s="3" t="s">
        <v>112</v>
      </c>
      <c r="E16" s="3" t="s">
        <v>111</v>
      </c>
      <c r="F16" s="4">
        <v>0.15</v>
      </c>
      <c r="G16" t="str">
        <f>VLOOKUP(InputData[[#This Row],[PRODUCT ID]],MasterData[#All],2,0)</f>
        <v>Product23</v>
      </c>
      <c r="H16" t="str">
        <f>VLOOKUP(InputData[[#This Row],[PRODUCT ID]],MasterData[#All],3,0)</f>
        <v>Category03</v>
      </c>
      <c r="I16" t="str">
        <f>VLOOKUP(InputData[[#This Row],[PRODUCT ID]],MasterData[#All],4,0)</f>
        <v>Lt</v>
      </c>
      <c r="J16" s="8">
        <f>VLOOKUP(InputData[[#This Row],[PRODUCT ID]],MasterData[#All],5,0)</f>
        <v>46</v>
      </c>
      <c r="K16" s="8">
        <f>VLOOKUP(InputData[[#This Row],[PRODUCT ID]],MasterData[#All],6,0)</f>
        <v>55.74</v>
      </c>
      <c r="L16" s="8">
        <f>InputData[[#This Row],[BUYING PRICE]]*InputData[[#This Row],[QUANTITY]]</f>
        <v>322</v>
      </c>
      <c r="M16" s="8">
        <f>InputData[[#This Row],[SELLING PRICE]]*InputData[[#This Row],[QUANTITY]]*(1-InputData[[#This Row],[DISCOUNT %]])</f>
        <v>331.65300000000002</v>
      </c>
      <c r="N16" s="5">
        <f>DAY(InputData[[#This Row],[DATE]])</f>
        <v>17</v>
      </c>
      <c r="O16" s="5" t="str">
        <f>TEXT(InputData[[#This Row],[DATE]],"mmm")</f>
        <v>Mar</v>
      </c>
      <c r="P16" s="5">
        <f>YEAR(InputData[[#This Row],[DATE]])</f>
        <v>2021</v>
      </c>
    </row>
    <row r="17" spans="1:16" x14ac:dyDescent="0.35">
      <c r="A17" s="6">
        <v>44680</v>
      </c>
      <c r="B17" s="3" t="s">
        <v>100</v>
      </c>
      <c r="C17" s="3">
        <v>11</v>
      </c>
      <c r="D17" s="3" t="s">
        <v>111</v>
      </c>
      <c r="E17" s="3" t="s">
        <v>110</v>
      </c>
      <c r="F17" s="4">
        <v>0</v>
      </c>
      <c r="G17" t="str">
        <f>VLOOKUP(InputData[[#This Row],[PRODUCT ID]],MasterData[#All],2,0)</f>
        <v>Product44</v>
      </c>
      <c r="H17" t="str">
        <f>VLOOKUP(InputData[[#This Row],[PRODUCT ID]],MasterData[#All],3,0)</f>
        <v>Category02</v>
      </c>
      <c r="I17" t="str">
        <f>VLOOKUP(InputData[[#This Row],[PRODUCT ID]],MasterData[#All],4,0)</f>
        <v>No.</v>
      </c>
      <c r="J17" s="8">
        <f>VLOOKUP(InputData[[#This Row],[PRODUCT ID]],MasterData[#All],5,0)</f>
        <v>32</v>
      </c>
      <c r="K17" s="8">
        <f>VLOOKUP(InputData[[#This Row],[PRODUCT ID]],MasterData[#All],6,0)</f>
        <v>43.35</v>
      </c>
      <c r="L17" s="8">
        <f>InputData[[#This Row],[BUYING PRICE]]*InputData[[#This Row],[QUANTITY]]</f>
        <v>352</v>
      </c>
      <c r="M17" s="8">
        <f>InputData[[#This Row],[SELLING PRICE]]*InputData[[#This Row],[QUANTITY]]*(1-InputData[[#This Row],[DISCOUNT %]])</f>
        <v>476.85</v>
      </c>
      <c r="N17" s="5">
        <f>DAY(InputData[[#This Row],[DATE]])</f>
        <v>29</v>
      </c>
      <c r="O17" s="5" t="str">
        <f>TEXT(InputData[[#This Row],[DATE]],"mmm")</f>
        <v>Apr</v>
      </c>
      <c r="P17" s="5">
        <f>YEAR(InputData[[#This Row],[DATE]])</f>
        <v>2022</v>
      </c>
    </row>
    <row r="18" spans="1:16" x14ac:dyDescent="0.35">
      <c r="A18" s="6">
        <v>45056</v>
      </c>
      <c r="B18" s="3" t="s">
        <v>55</v>
      </c>
      <c r="C18" s="3">
        <v>13</v>
      </c>
      <c r="D18" s="3" t="s">
        <v>109</v>
      </c>
      <c r="E18" s="3" t="s">
        <v>110</v>
      </c>
      <c r="F18" s="4">
        <v>0</v>
      </c>
      <c r="G18" t="str">
        <f>VLOOKUP(InputData[[#This Row],[PRODUCT ID]],MasterData[#All],2,0)</f>
        <v>Product22</v>
      </c>
      <c r="H18" t="str">
        <f>VLOOKUP(InputData[[#This Row],[PRODUCT ID]],MasterData[#All],3,0)</f>
        <v>Category03</v>
      </c>
      <c r="I18" t="str">
        <f>VLOOKUP(InputData[[#This Row],[PRODUCT ID]],MasterData[#All],4,0)</f>
        <v>Kg</v>
      </c>
      <c r="J18" s="8">
        <f>VLOOKUP(InputData[[#This Row],[PRODUCT ID]],MasterData[#All],5,0)</f>
        <v>48</v>
      </c>
      <c r="K18" s="8">
        <f>VLOOKUP(InputData[[#This Row],[PRODUCT ID]],MasterData[#All],6,0)</f>
        <v>59.37</v>
      </c>
      <c r="L18" s="8">
        <f>InputData[[#This Row],[BUYING PRICE]]*InputData[[#This Row],[QUANTITY]]</f>
        <v>624</v>
      </c>
      <c r="M18" s="8">
        <f>InputData[[#This Row],[SELLING PRICE]]*InputData[[#This Row],[QUANTITY]]*(1-InputData[[#This Row],[DISCOUNT %]])</f>
        <v>771.81</v>
      </c>
      <c r="N18" s="5">
        <f>DAY(InputData[[#This Row],[DATE]])</f>
        <v>10</v>
      </c>
      <c r="O18" s="5" t="str">
        <f>TEXT(InputData[[#This Row],[DATE]],"mmm")</f>
        <v>May</v>
      </c>
      <c r="P18" s="5">
        <f>YEAR(InputData[[#This Row],[DATE]])</f>
        <v>2023</v>
      </c>
    </row>
    <row r="19" spans="1:16" x14ac:dyDescent="0.35">
      <c r="A19" s="6">
        <v>44353</v>
      </c>
      <c r="B19" s="3" t="s">
        <v>82</v>
      </c>
      <c r="C19" s="3">
        <v>8</v>
      </c>
      <c r="D19" s="3" t="s">
        <v>109</v>
      </c>
      <c r="E19" s="3" t="s">
        <v>111</v>
      </c>
      <c r="F19" s="4">
        <v>0</v>
      </c>
      <c r="G19" t="str">
        <f>VLOOKUP(InputData[[#This Row],[PRODUCT ID]],MasterData[#All],2,0)</f>
        <v>Product35</v>
      </c>
      <c r="H19" t="str">
        <f>VLOOKUP(InputData[[#This Row],[PRODUCT ID]],MasterData[#All],3,0)</f>
        <v>Category04</v>
      </c>
      <c r="I19" t="str">
        <f>VLOOKUP(InputData[[#This Row],[PRODUCT ID]],MasterData[#All],4,0)</f>
        <v>Kg</v>
      </c>
      <c r="J19" s="8">
        <f>VLOOKUP(InputData[[#This Row],[PRODUCT ID]],MasterData[#All],5,0)</f>
        <v>33</v>
      </c>
      <c r="K19" s="8">
        <f>VLOOKUP(InputData[[#This Row],[PRODUCT ID]],MasterData[#All],6,0)</f>
        <v>36.42</v>
      </c>
      <c r="L19" s="8">
        <f>InputData[[#This Row],[BUYING PRICE]]*InputData[[#This Row],[QUANTITY]]</f>
        <v>264</v>
      </c>
      <c r="M19" s="8">
        <f>InputData[[#This Row],[SELLING PRICE]]*InputData[[#This Row],[QUANTITY]]*(1-InputData[[#This Row],[DISCOUNT %]])</f>
        <v>291.36</v>
      </c>
      <c r="N19" s="5">
        <f>DAY(InputData[[#This Row],[DATE]])</f>
        <v>6</v>
      </c>
      <c r="O19" s="5" t="str">
        <f>TEXT(InputData[[#This Row],[DATE]],"mmm")</f>
        <v>Jun</v>
      </c>
      <c r="P19" s="5">
        <f>YEAR(InputData[[#This Row],[DATE]])</f>
        <v>2021</v>
      </c>
    </row>
    <row r="20" spans="1:16" x14ac:dyDescent="0.35">
      <c r="A20" s="6">
        <v>44757</v>
      </c>
      <c r="B20" s="3" t="s">
        <v>72</v>
      </c>
      <c r="C20" s="3">
        <v>4</v>
      </c>
      <c r="D20" s="3" t="s">
        <v>109</v>
      </c>
      <c r="E20" s="3" t="s">
        <v>111</v>
      </c>
      <c r="F20" s="4">
        <v>0.1</v>
      </c>
      <c r="G20" t="str">
        <f>VLOOKUP(InputData[[#This Row],[PRODUCT ID]],MasterData[#All],2,0)</f>
        <v>Product30</v>
      </c>
      <c r="H20" t="str">
        <f>VLOOKUP(InputData[[#This Row],[PRODUCT ID]],MasterData[#All],3,0)</f>
        <v>Category04</v>
      </c>
      <c r="I20" t="str">
        <f>VLOOKUP(InputData[[#This Row],[PRODUCT ID]],MasterData[#All],4,0)</f>
        <v>Dozon</v>
      </c>
      <c r="J20" s="8">
        <f>VLOOKUP(InputData[[#This Row],[PRODUCT ID]],MasterData[#All],5,0)</f>
        <v>41</v>
      </c>
      <c r="K20" s="8">
        <f>VLOOKUP(InputData[[#This Row],[PRODUCT ID]],MasterData[#All],6,0)</f>
        <v>46.85</v>
      </c>
      <c r="L20" s="8">
        <f>InputData[[#This Row],[BUYING PRICE]]*InputData[[#This Row],[QUANTITY]]</f>
        <v>164</v>
      </c>
      <c r="M20" s="8">
        <f>InputData[[#This Row],[SELLING PRICE]]*InputData[[#This Row],[QUANTITY]]*(1-InputData[[#This Row],[DISCOUNT %]])</f>
        <v>168.66</v>
      </c>
      <c r="N20" s="5">
        <f>DAY(InputData[[#This Row],[DATE]])</f>
        <v>15</v>
      </c>
      <c r="O20" s="5" t="str">
        <f>TEXT(InputData[[#This Row],[DATE]],"mmm")</f>
        <v>Jul</v>
      </c>
      <c r="P20" s="5">
        <f>YEAR(InputData[[#This Row],[DATE]])</f>
        <v>2022</v>
      </c>
    </row>
    <row r="21" spans="1:16" x14ac:dyDescent="0.35">
      <c r="A21" s="6">
        <v>45165</v>
      </c>
      <c r="B21" s="3" t="s">
        <v>15</v>
      </c>
      <c r="C21" s="3">
        <v>11</v>
      </c>
      <c r="D21" s="3" t="s">
        <v>111</v>
      </c>
      <c r="E21" s="3" t="s">
        <v>110</v>
      </c>
      <c r="F21" s="4">
        <v>0</v>
      </c>
      <c r="G21" t="str">
        <f>VLOOKUP(InputData[[#This Row],[PRODUCT ID]],MasterData[#All],2,0)</f>
        <v>Product04</v>
      </c>
      <c r="H21" t="str">
        <f>VLOOKUP(InputData[[#This Row],[PRODUCT ID]],MasterData[#All],3,0)</f>
        <v>Category01</v>
      </c>
      <c r="I21" t="str">
        <f>VLOOKUP(InputData[[#This Row],[PRODUCT ID]],MasterData[#All],4,0)</f>
        <v>Dozon</v>
      </c>
      <c r="J21" s="8">
        <f>VLOOKUP(InputData[[#This Row],[PRODUCT ID]],MasterData[#All],5,0)</f>
        <v>13</v>
      </c>
      <c r="K21" s="8">
        <f>VLOOKUP(InputData[[#This Row],[PRODUCT ID]],MasterData[#All],6,0)</f>
        <v>13.79</v>
      </c>
      <c r="L21" s="8">
        <f>InputData[[#This Row],[BUYING PRICE]]*InputData[[#This Row],[QUANTITY]]</f>
        <v>143</v>
      </c>
      <c r="M21" s="8">
        <f>InputData[[#This Row],[SELLING PRICE]]*InputData[[#This Row],[QUANTITY]]*(1-InputData[[#This Row],[DISCOUNT %]])</f>
        <v>151.69</v>
      </c>
      <c r="N21" s="5">
        <f>DAY(InputData[[#This Row],[DATE]])</f>
        <v>27</v>
      </c>
      <c r="O21" s="5" t="str">
        <f>TEXT(InputData[[#This Row],[DATE]],"mmm")</f>
        <v>Aug</v>
      </c>
      <c r="P21" s="5">
        <f>YEAR(InputData[[#This Row],[DATE]])</f>
        <v>2023</v>
      </c>
    </row>
    <row r="22" spans="1:16" x14ac:dyDescent="0.35">
      <c r="A22" s="6">
        <v>44458</v>
      </c>
      <c r="B22" s="3" t="s">
        <v>42</v>
      </c>
      <c r="C22" s="3">
        <v>3</v>
      </c>
      <c r="D22" s="3" t="s">
        <v>112</v>
      </c>
      <c r="E22" s="3" t="s">
        <v>111</v>
      </c>
      <c r="F22" s="4">
        <v>0.05</v>
      </c>
      <c r="G22" t="str">
        <f>VLOOKUP(InputData[[#This Row],[PRODUCT ID]],MasterData[#All],2,0)</f>
        <v>Product16</v>
      </c>
      <c r="H22" t="str">
        <f>VLOOKUP(InputData[[#This Row],[PRODUCT ID]],MasterData[#All],3,0)</f>
        <v>Category02</v>
      </c>
      <c r="I22" t="str">
        <f>VLOOKUP(InputData[[#This Row],[PRODUCT ID]],MasterData[#All],4,0)</f>
        <v>No.</v>
      </c>
      <c r="J22" s="8">
        <f>VLOOKUP(InputData[[#This Row],[PRODUCT ID]],MasterData[#All],5,0)</f>
        <v>97</v>
      </c>
      <c r="K22" s="8">
        <f>VLOOKUP(InputData[[#This Row],[PRODUCT ID]],MasterData[#All],6,0)</f>
        <v>121.45</v>
      </c>
      <c r="L22" s="8">
        <f>InputData[[#This Row],[BUYING PRICE]]*InputData[[#This Row],[QUANTITY]]</f>
        <v>291</v>
      </c>
      <c r="M22" s="8">
        <f>InputData[[#This Row],[SELLING PRICE]]*InputData[[#This Row],[QUANTITY]]*(1-InputData[[#This Row],[DISCOUNT %]])</f>
        <v>346.13249999999999</v>
      </c>
      <c r="N22" s="5">
        <f>DAY(InputData[[#This Row],[DATE]])</f>
        <v>19</v>
      </c>
      <c r="O22" s="5" t="str">
        <f>TEXT(InputData[[#This Row],[DATE]],"mmm")</f>
        <v>Sep</v>
      </c>
      <c r="P22" s="5">
        <f>YEAR(InputData[[#This Row],[DATE]])</f>
        <v>2021</v>
      </c>
    </row>
    <row r="23" spans="1:16" x14ac:dyDescent="0.35">
      <c r="A23" s="6">
        <v>44846</v>
      </c>
      <c r="B23" s="3" t="s">
        <v>63</v>
      </c>
      <c r="C23" s="3">
        <v>15</v>
      </c>
      <c r="D23" s="3" t="s">
        <v>109</v>
      </c>
      <c r="E23" s="3" t="s">
        <v>110</v>
      </c>
      <c r="F23" s="4">
        <v>0.05</v>
      </c>
      <c r="G23" t="str">
        <f>VLOOKUP(InputData[[#This Row],[PRODUCT ID]],MasterData[#All],2,0)</f>
        <v>Product26</v>
      </c>
      <c r="H23" t="str">
        <f>VLOOKUP(InputData[[#This Row],[PRODUCT ID]],MasterData[#All],3,0)</f>
        <v>Category03</v>
      </c>
      <c r="I23" t="str">
        <f>VLOOKUP(InputData[[#This Row],[PRODUCT ID]],MasterData[#All],4,0)</f>
        <v>Kg</v>
      </c>
      <c r="J23" s="8">
        <f>VLOOKUP(InputData[[#This Row],[PRODUCT ID]],MasterData[#All],5,0)</f>
        <v>85</v>
      </c>
      <c r="K23" s="8">
        <f>VLOOKUP(InputData[[#This Row],[PRODUCT ID]],MasterData[#All],6,0)</f>
        <v>101.18</v>
      </c>
      <c r="L23" s="8">
        <f>InputData[[#This Row],[BUYING PRICE]]*InputData[[#This Row],[QUANTITY]]</f>
        <v>1275</v>
      </c>
      <c r="M23" s="8">
        <f>InputData[[#This Row],[SELLING PRICE]]*InputData[[#This Row],[QUANTITY]]*(1-InputData[[#This Row],[DISCOUNT %]])</f>
        <v>1441.8150000000001</v>
      </c>
      <c r="N23" s="5">
        <f>DAY(InputData[[#This Row],[DATE]])</f>
        <v>12</v>
      </c>
      <c r="O23" s="5" t="str">
        <f>TEXT(InputData[[#This Row],[DATE]],"mmm")</f>
        <v>Oct</v>
      </c>
      <c r="P23" s="5">
        <f>YEAR(InputData[[#This Row],[DATE]])</f>
        <v>2022</v>
      </c>
    </row>
    <row r="24" spans="1:16" x14ac:dyDescent="0.35">
      <c r="A24" s="6">
        <v>45234</v>
      </c>
      <c r="B24" s="3" t="s">
        <v>61</v>
      </c>
      <c r="C24" s="3">
        <v>5</v>
      </c>
      <c r="D24" s="3" t="s">
        <v>112</v>
      </c>
      <c r="E24" s="3" t="s">
        <v>111</v>
      </c>
      <c r="F24" s="4">
        <v>0.05</v>
      </c>
      <c r="G24" t="str">
        <f>VLOOKUP(InputData[[#This Row],[PRODUCT ID]],MasterData[#All],2,0)</f>
        <v>Product25</v>
      </c>
      <c r="H24" t="str">
        <f>VLOOKUP(InputData[[#This Row],[PRODUCT ID]],MasterData[#All],3,0)</f>
        <v>Category03</v>
      </c>
      <c r="I24" t="str">
        <f>VLOOKUP(InputData[[#This Row],[PRODUCT ID]],MasterData[#All],4,0)</f>
        <v>Lt</v>
      </c>
      <c r="J24" s="8">
        <f>VLOOKUP(InputData[[#This Row],[PRODUCT ID]],MasterData[#All],5,0)</f>
        <v>19</v>
      </c>
      <c r="K24" s="8">
        <f>VLOOKUP(InputData[[#This Row],[PRODUCT ID]],MasterData[#All],6,0)</f>
        <v>21.47</v>
      </c>
      <c r="L24" s="8">
        <f>InputData[[#This Row],[BUYING PRICE]]*InputData[[#This Row],[QUANTITY]]</f>
        <v>95</v>
      </c>
      <c r="M24" s="8">
        <f>InputData[[#This Row],[SELLING PRICE]]*InputData[[#This Row],[QUANTITY]]*(1-InputData[[#This Row],[DISCOUNT %]])</f>
        <v>101.98249999999999</v>
      </c>
      <c r="N24" s="5">
        <f>DAY(InputData[[#This Row],[DATE]])</f>
        <v>4</v>
      </c>
      <c r="O24" s="5" t="str">
        <f>TEXT(InputData[[#This Row],[DATE]],"mmm")</f>
        <v>Nov</v>
      </c>
      <c r="P24" s="5">
        <f>YEAR(InputData[[#This Row],[DATE]])</f>
        <v>2023</v>
      </c>
    </row>
    <row r="25" spans="1:16" x14ac:dyDescent="0.35">
      <c r="A25" s="6">
        <v>44555</v>
      </c>
      <c r="B25" s="3" t="s">
        <v>84</v>
      </c>
      <c r="C25" s="3">
        <v>11</v>
      </c>
      <c r="D25" s="3" t="s">
        <v>111</v>
      </c>
      <c r="E25" s="3" t="s">
        <v>111</v>
      </c>
      <c r="F25" s="4">
        <v>0</v>
      </c>
      <c r="G25" t="str">
        <f>VLOOKUP(InputData[[#This Row],[PRODUCT ID]],MasterData[#All],2,0)</f>
        <v>Product36</v>
      </c>
      <c r="H25" t="str">
        <f>VLOOKUP(InputData[[#This Row],[PRODUCT ID]],MasterData[#All],3,0)</f>
        <v>Category04</v>
      </c>
      <c r="I25" t="str">
        <f>VLOOKUP(InputData[[#This Row],[PRODUCT ID]],MasterData[#All],4,0)</f>
        <v>Lt</v>
      </c>
      <c r="J25" s="8">
        <f>VLOOKUP(InputData[[#This Row],[PRODUCT ID]],MasterData[#All],5,0)</f>
        <v>113</v>
      </c>
      <c r="K25" s="8">
        <f>VLOOKUP(InputData[[#This Row],[PRODUCT ID]],MasterData[#All],6,0)</f>
        <v>142.24</v>
      </c>
      <c r="L25" s="8">
        <f>InputData[[#This Row],[BUYING PRICE]]*InputData[[#This Row],[QUANTITY]]</f>
        <v>1243</v>
      </c>
      <c r="M25" s="8">
        <f>InputData[[#This Row],[SELLING PRICE]]*InputData[[#This Row],[QUANTITY]]*(1-InputData[[#This Row],[DISCOUNT %]])</f>
        <v>1564.64</v>
      </c>
      <c r="N25" s="5">
        <f>DAY(InputData[[#This Row],[DATE]])</f>
        <v>25</v>
      </c>
      <c r="O25" s="5" t="str">
        <f>TEXT(InputData[[#This Row],[DATE]],"mmm")</f>
        <v>Dec</v>
      </c>
      <c r="P25" s="5">
        <f>YEAR(InputData[[#This Row],[DATE]])</f>
        <v>2021</v>
      </c>
    </row>
    <row r="26" spans="1:16" x14ac:dyDescent="0.35">
      <c r="A26" s="6">
        <v>44940</v>
      </c>
      <c r="B26" s="3" t="s">
        <v>48</v>
      </c>
      <c r="C26" s="3">
        <v>4</v>
      </c>
      <c r="D26" s="3" t="s">
        <v>109</v>
      </c>
      <c r="E26" s="3" t="s">
        <v>110</v>
      </c>
      <c r="F26" s="4">
        <v>0.15</v>
      </c>
      <c r="G26" t="str">
        <f>VLOOKUP(InputData[[#This Row],[PRODUCT ID]],MasterData[#All],2,0)</f>
        <v>Product19</v>
      </c>
      <c r="H26" t="str">
        <f>VLOOKUP(InputData[[#This Row],[PRODUCT ID]],MasterData[#All],3,0)</f>
        <v>Category03</v>
      </c>
      <c r="I26" t="str">
        <f>VLOOKUP(InputData[[#This Row],[PRODUCT ID]],MasterData[#All],4,0)</f>
        <v>Kg</v>
      </c>
      <c r="J26" s="8">
        <f>VLOOKUP(InputData[[#This Row],[PRODUCT ID]],MasterData[#All],5,0)</f>
        <v>102</v>
      </c>
      <c r="K26" s="8">
        <f>VLOOKUP(InputData[[#This Row],[PRODUCT ID]],MasterData[#All],6,0)</f>
        <v>117.02</v>
      </c>
      <c r="L26" s="8">
        <f>InputData[[#This Row],[BUYING PRICE]]*InputData[[#This Row],[QUANTITY]]</f>
        <v>408</v>
      </c>
      <c r="M26" s="8">
        <f>InputData[[#This Row],[SELLING PRICE]]*InputData[[#This Row],[QUANTITY]]*(1-InputData[[#This Row],[DISCOUNT %]])</f>
        <v>397.86799999999999</v>
      </c>
      <c r="N26" s="5">
        <f>DAY(InputData[[#This Row],[DATE]])</f>
        <v>14</v>
      </c>
      <c r="O26" s="5" t="str">
        <f>TEXT(InputData[[#This Row],[DATE]],"mmm")</f>
        <v>Jan</v>
      </c>
      <c r="P26" s="5">
        <f>YEAR(InputData[[#This Row],[DATE]])</f>
        <v>2023</v>
      </c>
    </row>
    <row r="27" spans="1:16" x14ac:dyDescent="0.35">
      <c r="A27" s="6">
        <v>44236</v>
      </c>
      <c r="B27" s="3" t="s">
        <v>15</v>
      </c>
      <c r="C27" s="3">
        <v>1</v>
      </c>
      <c r="D27" s="3" t="s">
        <v>111</v>
      </c>
      <c r="E27" s="3" t="s">
        <v>111</v>
      </c>
      <c r="F27" s="4">
        <v>0.1</v>
      </c>
      <c r="G27" t="str">
        <f>VLOOKUP(InputData[[#This Row],[PRODUCT ID]],MasterData[#All],2,0)</f>
        <v>Product04</v>
      </c>
      <c r="H27" t="str">
        <f>VLOOKUP(InputData[[#This Row],[PRODUCT ID]],MasterData[#All],3,0)</f>
        <v>Category01</v>
      </c>
      <c r="I27" t="str">
        <f>VLOOKUP(InputData[[#This Row],[PRODUCT ID]],MasterData[#All],4,0)</f>
        <v>Dozon</v>
      </c>
      <c r="J27" s="8">
        <f>VLOOKUP(InputData[[#This Row],[PRODUCT ID]],MasterData[#All],5,0)</f>
        <v>13</v>
      </c>
      <c r="K27" s="8">
        <f>VLOOKUP(InputData[[#This Row],[PRODUCT ID]],MasterData[#All],6,0)</f>
        <v>13.79</v>
      </c>
      <c r="L27" s="8">
        <f>InputData[[#This Row],[BUYING PRICE]]*InputData[[#This Row],[QUANTITY]]</f>
        <v>13</v>
      </c>
      <c r="M27" s="8">
        <f>InputData[[#This Row],[SELLING PRICE]]*InputData[[#This Row],[QUANTITY]]*(1-InputData[[#This Row],[DISCOUNT %]])</f>
        <v>12.411</v>
      </c>
      <c r="N27" s="5">
        <f>DAY(InputData[[#This Row],[DATE]])</f>
        <v>9</v>
      </c>
      <c r="O27" s="5" t="str">
        <f>TEXT(InputData[[#This Row],[DATE]],"mmm")</f>
        <v>Feb</v>
      </c>
      <c r="P27" s="5">
        <f>YEAR(InputData[[#This Row],[DATE]])</f>
        <v>2021</v>
      </c>
    </row>
    <row r="28" spans="1:16" x14ac:dyDescent="0.35">
      <c r="A28" s="6">
        <v>44648</v>
      </c>
      <c r="B28" s="3" t="s">
        <v>80</v>
      </c>
      <c r="C28" s="3">
        <v>3</v>
      </c>
      <c r="D28" s="3" t="s">
        <v>109</v>
      </c>
      <c r="E28" s="3" t="s">
        <v>110</v>
      </c>
      <c r="F28" s="4">
        <v>0</v>
      </c>
      <c r="G28" t="str">
        <f>VLOOKUP(InputData[[#This Row],[PRODUCT ID]],MasterData[#All],2,0)</f>
        <v>Product34</v>
      </c>
      <c r="H28" t="str">
        <f>VLOOKUP(InputData[[#This Row],[PRODUCT ID]],MasterData[#All],3,0)</f>
        <v>Category04</v>
      </c>
      <c r="I28" t="str">
        <f>VLOOKUP(InputData[[#This Row],[PRODUCT ID]],MasterData[#All],4,0)</f>
        <v>Lt</v>
      </c>
      <c r="J28" s="8">
        <f>VLOOKUP(InputData[[#This Row],[PRODUCT ID]],MasterData[#All],5,0)</f>
        <v>135</v>
      </c>
      <c r="K28" s="8">
        <f>VLOOKUP(InputData[[#This Row],[PRODUCT ID]],MasterData[#All],6,0)</f>
        <v>165.07</v>
      </c>
      <c r="L28" s="8">
        <f>InputData[[#This Row],[BUYING PRICE]]*InputData[[#This Row],[QUANTITY]]</f>
        <v>405</v>
      </c>
      <c r="M28" s="8">
        <f>InputData[[#This Row],[SELLING PRICE]]*InputData[[#This Row],[QUANTITY]]*(1-InputData[[#This Row],[DISCOUNT %]])</f>
        <v>495.21</v>
      </c>
      <c r="N28" s="5">
        <f>DAY(InputData[[#This Row],[DATE]])</f>
        <v>28</v>
      </c>
      <c r="O28" s="5" t="str">
        <f>TEXT(InputData[[#This Row],[DATE]],"mmm")</f>
        <v>Mar</v>
      </c>
      <c r="P28" s="5">
        <f>YEAR(InputData[[#This Row],[DATE]])</f>
        <v>2022</v>
      </c>
    </row>
    <row r="29" spans="1:16" x14ac:dyDescent="0.35">
      <c r="A29" s="6">
        <v>45023</v>
      </c>
      <c r="B29" s="3" t="s">
        <v>90</v>
      </c>
      <c r="C29" s="3">
        <v>2</v>
      </c>
      <c r="D29" s="3" t="s">
        <v>111</v>
      </c>
      <c r="E29" s="3" t="s">
        <v>110</v>
      </c>
      <c r="F29" s="4">
        <v>0.05</v>
      </c>
      <c r="G29" t="str">
        <f>VLOOKUP(InputData[[#This Row],[PRODUCT ID]],MasterData[#All],2,0)</f>
        <v>Product39</v>
      </c>
      <c r="H29" t="str">
        <f>VLOOKUP(InputData[[#This Row],[PRODUCT ID]],MasterData[#All],3,0)</f>
        <v>Category02</v>
      </c>
      <c r="I29" t="str">
        <f>VLOOKUP(InputData[[#This Row],[PRODUCT ID]],MasterData[#All],4,0)</f>
        <v>No.</v>
      </c>
      <c r="J29" s="8">
        <f>VLOOKUP(InputData[[#This Row],[PRODUCT ID]],MasterData[#All],5,0)</f>
        <v>7</v>
      </c>
      <c r="K29" s="8">
        <f>VLOOKUP(InputData[[#This Row],[PRODUCT ID]],MasterData[#All],6,0)</f>
        <v>9.02</v>
      </c>
      <c r="L29" s="8">
        <f>InputData[[#This Row],[BUYING PRICE]]*InputData[[#This Row],[QUANTITY]]</f>
        <v>14</v>
      </c>
      <c r="M29" s="8">
        <f>InputData[[#This Row],[SELLING PRICE]]*InputData[[#This Row],[QUANTITY]]*(1-InputData[[#This Row],[DISCOUNT %]])</f>
        <v>17.137999999999998</v>
      </c>
      <c r="N29" s="5">
        <f>DAY(InputData[[#This Row],[DATE]])</f>
        <v>7</v>
      </c>
      <c r="O29" s="5" t="str">
        <f>TEXT(InputData[[#This Row],[DATE]],"mmm")</f>
        <v>Apr</v>
      </c>
      <c r="P29" s="5">
        <f>YEAR(InputData[[#This Row],[DATE]])</f>
        <v>2023</v>
      </c>
    </row>
    <row r="30" spans="1:16" x14ac:dyDescent="0.35">
      <c r="A30" s="6">
        <v>44336</v>
      </c>
      <c r="B30" s="3" t="s">
        <v>86</v>
      </c>
      <c r="C30" s="3">
        <v>4</v>
      </c>
      <c r="D30" s="3" t="s">
        <v>111</v>
      </c>
      <c r="E30" s="3" t="s">
        <v>110</v>
      </c>
      <c r="F30" s="4">
        <v>0.1</v>
      </c>
      <c r="G30" t="str">
        <f>VLOOKUP(InputData[[#This Row],[PRODUCT ID]],MasterData[#All],2,0)</f>
        <v>Product37</v>
      </c>
      <c r="H30" t="str">
        <f>VLOOKUP(InputData[[#This Row],[PRODUCT ID]],MasterData[#All],3,0)</f>
        <v>Category01</v>
      </c>
      <c r="I30" t="str">
        <f>VLOOKUP(InputData[[#This Row],[PRODUCT ID]],MasterData[#All],4,0)</f>
        <v>Dozon</v>
      </c>
      <c r="J30" s="8">
        <f>VLOOKUP(InputData[[#This Row],[PRODUCT ID]],MasterData[#All],5,0)</f>
        <v>102</v>
      </c>
      <c r="K30" s="8">
        <f>VLOOKUP(InputData[[#This Row],[PRODUCT ID]],MasterData[#All],6,0)</f>
        <v>128.37</v>
      </c>
      <c r="L30" s="8">
        <f>InputData[[#This Row],[BUYING PRICE]]*InputData[[#This Row],[QUANTITY]]</f>
        <v>408</v>
      </c>
      <c r="M30" s="8">
        <f>InputData[[#This Row],[SELLING PRICE]]*InputData[[#This Row],[QUANTITY]]*(1-InputData[[#This Row],[DISCOUNT %]])</f>
        <v>462.13200000000001</v>
      </c>
      <c r="N30" s="5">
        <f>DAY(InputData[[#This Row],[DATE]])</f>
        <v>20</v>
      </c>
      <c r="O30" s="5" t="str">
        <f>TEXT(InputData[[#This Row],[DATE]],"mmm")</f>
        <v>May</v>
      </c>
      <c r="P30" s="5">
        <f>YEAR(InputData[[#This Row],[DATE]])</f>
        <v>2021</v>
      </c>
    </row>
    <row r="31" spans="1:16" x14ac:dyDescent="0.35">
      <c r="A31" s="6">
        <v>44723</v>
      </c>
      <c r="B31" s="3" t="s">
        <v>65</v>
      </c>
      <c r="C31" s="3">
        <v>11</v>
      </c>
      <c r="D31" s="3" t="s">
        <v>111</v>
      </c>
      <c r="E31" s="3" t="s">
        <v>111</v>
      </c>
      <c r="F31" s="4">
        <v>0</v>
      </c>
      <c r="G31" t="str">
        <f>VLOOKUP(InputData[[#This Row],[PRODUCT ID]],MasterData[#All],2,0)</f>
        <v>Product27</v>
      </c>
      <c r="H31" t="str">
        <f>VLOOKUP(InputData[[#This Row],[PRODUCT ID]],MasterData[#All],3,0)</f>
        <v>Category03</v>
      </c>
      <c r="I31" t="str">
        <f>VLOOKUP(InputData[[#This Row],[PRODUCT ID]],MasterData[#All],4,0)</f>
        <v>Kg</v>
      </c>
      <c r="J31" s="8">
        <f>VLOOKUP(InputData[[#This Row],[PRODUCT ID]],MasterData[#All],5,0)</f>
        <v>59</v>
      </c>
      <c r="K31" s="8">
        <f>VLOOKUP(InputData[[#This Row],[PRODUCT ID]],MasterData[#All],6,0)</f>
        <v>80.81</v>
      </c>
      <c r="L31" s="8">
        <f>InputData[[#This Row],[BUYING PRICE]]*InputData[[#This Row],[QUANTITY]]</f>
        <v>649</v>
      </c>
      <c r="M31" s="8">
        <f>InputData[[#This Row],[SELLING PRICE]]*InputData[[#This Row],[QUANTITY]]*(1-InputData[[#This Row],[DISCOUNT %]])</f>
        <v>888.91000000000008</v>
      </c>
      <c r="N31" s="5">
        <f>DAY(InputData[[#This Row],[DATE]])</f>
        <v>11</v>
      </c>
      <c r="O31" s="5" t="str">
        <f>TEXT(InputData[[#This Row],[DATE]],"mmm")</f>
        <v>Jun</v>
      </c>
      <c r="P31" s="5">
        <f>YEAR(InputData[[#This Row],[DATE]])</f>
        <v>2022</v>
      </c>
    </row>
    <row r="32" spans="1:16" x14ac:dyDescent="0.35">
      <c r="A32" s="6">
        <v>45133</v>
      </c>
      <c r="B32" s="3" t="s">
        <v>98</v>
      </c>
      <c r="C32" s="3">
        <v>12</v>
      </c>
      <c r="D32" s="3" t="s">
        <v>112</v>
      </c>
      <c r="E32" s="3" t="s">
        <v>110</v>
      </c>
      <c r="F32" s="4">
        <v>0</v>
      </c>
      <c r="G32" t="str">
        <f>VLOOKUP(InputData[[#This Row],[PRODUCT ID]],MasterData[#All],2,0)</f>
        <v>Product43</v>
      </c>
      <c r="H32" t="str">
        <f>VLOOKUP(InputData[[#This Row],[PRODUCT ID]],MasterData[#All],3,0)</f>
        <v>Category02</v>
      </c>
      <c r="I32" t="str">
        <f>VLOOKUP(InputData[[#This Row],[PRODUCT ID]],MasterData[#All],4,0)</f>
        <v>Lt</v>
      </c>
      <c r="J32" s="8">
        <f>VLOOKUP(InputData[[#This Row],[PRODUCT ID]],MasterData[#All],5,0)</f>
        <v>133</v>
      </c>
      <c r="K32" s="8">
        <f>VLOOKUP(InputData[[#This Row],[PRODUCT ID]],MasterData[#All],6,0)</f>
        <v>175.12</v>
      </c>
      <c r="L32" s="8">
        <f>InputData[[#This Row],[BUYING PRICE]]*InputData[[#This Row],[QUANTITY]]</f>
        <v>1596</v>
      </c>
      <c r="M32" s="8">
        <f>InputData[[#This Row],[SELLING PRICE]]*InputData[[#This Row],[QUANTITY]]*(1-InputData[[#This Row],[DISCOUNT %]])</f>
        <v>2101.44</v>
      </c>
      <c r="N32" s="5">
        <f>DAY(InputData[[#This Row],[DATE]])</f>
        <v>26</v>
      </c>
      <c r="O32" s="5" t="str">
        <f>TEXT(InputData[[#This Row],[DATE]],"mmm")</f>
        <v>Jul</v>
      </c>
      <c r="P32" s="5">
        <f>YEAR(InputData[[#This Row],[DATE]])</f>
        <v>2023</v>
      </c>
    </row>
    <row r="33" spans="1:16" x14ac:dyDescent="0.35">
      <c r="A33" s="6">
        <v>44421</v>
      </c>
      <c r="B33" s="3" t="s">
        <v>27</v>
      </c>
      <c r="C33" s="3">
        <v>11</v>
      </c>
      <c r="D33" s="3" t="s">
        <v>111</v>
      </c>
      <c r="E33" s="3" t="s">
        <v>111</v>
      </c>
      <c r="F33" s="4">
        <v>0.05</v>
      </c>
      <c r="G33" t="str">
        <f>VLOOKUP(InputData[[#This Row],[PRODUCT ID]],MasterData[#All],2,0)</f>
        <v>Product09</v>
      </c>
      <c r="H33" t="str">
        <f>VLOOKUP(InputData[[#This Row],[PRODUCT ID]],MasterData[#All],3,0)</f>
        <v>Category01</v>
      </c>
      <c r="I33" t="str">
        <f>VLOOKUP(InputData[[#This Row],[PRODUCT ID]],MasterData[#All],4,0)</f>
        <v>Kg</v>
      </c>
      <c r="J33" s="8">
        <f>VLOOKUP(InputData[[#This Row],[PRODUCT ID]],MasterData[#All],5,0)</f>
        <v>45</v>
      </c>
      <c r="K33" s="8">
        <f>VLOOKUP(InputData[[#This Row],[PRODUCT ID]],MasterData[#All],6,0)</f>
        <v>58.25</v>
      </c>
      <c r="L33" s="8">
        <f>InputData[[#This Row],[BUYING PRICE]]*InputData[[#This Row],[QUANTITY]]</f>
        <v>495</v>
      </c>
      <c r="M33" s="8">
        <f>InputData[[#This Row],[SELLING PRICE]]*InputData[[#This Row],[QUANTITY]]*(1-InputData[[#This Row],[DISCOUNT %]])</f>
        <v>608.71249999999998</v>
      </c>
      <c r="N33" s="5">
        <f>DAY(InputData[[#This Row],[DATE]])</f>
        <v>13</v>
      </c>
      <c r="O33" s="5" t="str">
        <f>TEXT(InputData[[#This Row],[DATE]],"mmm")</f>
        <v>Aug</v>
      </c>
      <c r="P33" s="5">
        <f>YEAR(InputData[[#This Row],[DATE]])</f>
        <v>2021</v>
      </c>
    </row>
    <row r="34" spans="1:16" x14ac:dyDescent="0.35">
      <c r="A34" s="6">
        <v>44809</v>
      </c>
      <c r="B34" s="3" t="s">
        <v>18</v>
      </c>
      <c r="C34" s="3">
        <v>1</v>
      </c>
      <c r="D34" s="3" t="s">
        <v>112</v>
      </c>
      <c r="E34" s="3" t="s">
        <v>110</v>
      </c>
      <c r="F34" s="4">
        <v>0</v>
      </c>
      <c r="G34" t="str">
        <f>VLOOKUP(InputData[[#This Row],[PRODUCT ID]],MasterData[#All],2,0)</f>
        <v>Product05</v>
      </c>
      <c r="H34" t="str">
        <f>VLOOKUP(InputData[[#This Row],[PRODUCT ID]],MasterData[#All],3,0)</f>
        <v>Category01</v>
      </c>
      <c r="I34" t="str">
        <f>VLOOKUP(InputData[[#This Row],[PRODUCT ID]],MasterData[#All],4,0)</f>
        <v>Lt</v>
      </c>
      <c r="J34" s="8">
        <f>VLOOKUP(InputData[[#This Row],[PRODUCT ID]],MasterData[#All],5,0)</f>
        <v>64</v>
      </c>
      <c r="K34" s="8">
        <f>VLOOKUP(InputData[[#This Row],[PRODUCT ID]],MasterData[#All],6,0)</f>
        <v>78.52</v>
      </c>
      <c r="L34" s="8">
        <f>InputData[[#This Row],[BUYING PRICE]]*InputData[[#This Row],[QUANTITY]]</f>
        <v>64</v>
      </c>
      <c r="M34" s="8">
        <f>InputData[[#This Row],[SELLING PRICE]]*InputData[[#This Row],[QUANTITY]]*(1-InputData[[#This Row],[DISCOUNT %]])</f>
        <v>78.52</v>
      </c>
      <c r="N34" s="5">
        <f>DAY(InputData[[#This Row],[DATE]])</f>
        <v>5</v>
      </c>
      <c r="O34" s="5" t="str">
        <f>TEXT(InputData[[#This Row],[DATE]],"mmm")</f>
        <v>Sep</v>
      </c>
      <c r="P34" s="5">
        <f>YEAR(InputData[[#This Row],[DATE]])</f>
        <v>2022</v>
      </c>
    </row>
    <row r="35" spans="1:16" x14ac:dyDescent="0.35">
      <c r="A35" s="6">
        <v>45217</v>
      </c>
      <c r="B35" s="3" t="s">
        <v>38</v>
      </c>
      <c r="C35" s="3">
        <v>9</v>
      </c>
      <c r="D35" s="3" t="s">
        <v>112</v>
      </c>
      <c r="E35" s="3" t="s">
        <v>110</v>
      </c>
      <c r="F35" s="4">
        <v>0</v>
      </c>
      <c r="G35" t="str">
        <f>VLOOKUP(InputData[[#This Row],[PRODUCT ID]],MasterData[#All],2,0)</f>
        <v>Product14</v>
      </c>
      <c r="H35" t="str">
        <f>VLOOKUP(InputData[[#This Row],[PRODUCT ID]],MasterData[#All],3,0)</f>
        <v>Category02</v>
      </c>
      <c r="I35" t="str">
        <f>VLOOKUP(InputData[[#This Row],[PRODUCT ID]],MasterData[#All],4,0)</f>
        <v>Dozon</v>
      </c>
      <c r="J35" s="8">
        <f>VLOOKUP(InputData[[#This Row],[PRODUCT ID]],MasterData[#All],5,0)</f>
        <v>142</v>
      </c>
      <c r="K35" s="8">
        <f>VLOOKUP(InputData[[#This Row],[PRODUCT ID]],MasterData[#All],6,0)</f>
        <v>155.30000000000001</v>
      </c>
      <c r="L35" s="8">
        <f>InputData[[#This Row],[BUYING PRICE]]*InputData[[#This Row],[QUANTITY]]</f>
        <v>1278</v>
      </c>
      <c r="M35" s="8">
        <f>InputData[[#This Row],[SELLING PRICE]]*InputData[[#This Row],[QUANTITY]]*(1-InputData[[#This Row],[DISCOUNT %]])</f>
        <v>1397.7</v>
      </c>
      <c r="N35" s="5">
        <f>DAY(InputData[[#This Row],[DATE]])</f>
        <v>18</v>
      </c>
      <c r="O35" s="5" t="str">
        <f>TEXT(InputData[[#This Row],[DATE]],"mmm")</f>
        <v>Oct</v>
      </c>
      <c r="P35" s="5">
        <f>YEAR(InputData[[#This Row],[DATE]])</f>
        <v>2023</v>
      </c>
    </row>
    <row r="36" spans="1:16" x14ac:dyDescent="0.35">
      <c r="A36" s="6">
        <v>44530</v>
      </c>
      <c r="B36" s="3" t="s">
        <v>42</v>
      </c>
      <c r="C36" s="3">
        <v>6</v>
      </c>
      <c r="D36" s="3" t="s">
        <v>112</v>
      </c>
      <c r="E36" s="3" t="s">
        <v>110</v>
      </c>
      <c r="F36" s="4">
        <v>0.05</v>
      </c>
      <c r="G36" t="str">
        <f>VLOOKUP(InputData[[#This Row],[PRODUCT ID]],MasterData[#All],2,0)</f>
        <v>Product16</v>
      </c>
      <c r="H36" t="str">
        <f>VLOOKUP(InputData[[#This Row],[PRODUCT ID]],MasterData[#All],3,0)</f>
        <v>Category02</v>
      </c>
      <c r="I36" t="str">
        <f>VLOOKUP(InputData[[#This Row],[PRODUCT ID]],MasterData[#All],4,0)</f>
        <v>No.</v>
      </c>
      <c r="J36" s="8">
        <f>VLOOKUP(InputData[[#This Row],[PRODUCT ID]],MasterData[#All],5,0)</f>
        <v>97</v>
      </c>
      <c r="K36" s="8">
        <f>VLOOKUP(InputData[[#This Row],[PRODUCT ID]],MasterData[#All],6,0)</f>
        <v>121.45</v>
      </c>
      <c r="L36" s="8">
        <f>InputData[[#This Row],[BUYING PRICE]]*InputData[[#This Row],[QUANTITY]]</f>
        <v>582</v>
      </c>
      <c r="M36" s="8">
        <f>InputData[[#This Row],[SELLING PRICE]]*InputData[[#This Row],[QUANTITY]]*(1-InputData[[#This Row],[DISCOUNT %]])</f>
        <v>692.26499999999999</v>
      </c>
      <c r="N36" s="5">
        <f>DAY(InputData[[#This Row],[DATE]])</f>
        <v>30</v>
      </c>
      <c r="O36" s="5" t="str">
        <f>TEXT(InputData[[#This Row],[DATE]],"mmm")</f>
        <v>Nov</v>
      </c>
      <c r="P36" s="5">
        <f>YEAR(InputData[[#This Row],[DATE]])</f>
        <v>2021</v>
      </c>
    </row>
    <row r="37" spans="1:16" x14ac:dyDescent="0.35">
      <c r="A37" s="6">
        <v>44903</v>
      </c>
      <c r="B37" s="3" t="s">
        <v>82</v>
      </c>
      <c r="C37" s="3">
        <v>12</v>
      </c>
      <c r="D37" s="3" t="s">
        <v>112</v>
      </c>
      <c r="E37" s="3" t="s">
        <v>110</v>
      </c>
      <c r="F37" s="4">
        <v>0.15</v>
      </c>
      <c r="G37" t="str">
        <f>VLOOKUP(InputData[[#This Row],[PRODUCT ID]],MasterData[#All],2,0)</f>
        <v>Product35</v>
      </c>
      <c r="H37" t="str">
        <f>VLOOKUP(InputData[[#This Row],[PRODUCT ID]],MasterData[#All],3,0)</f>
        <v>Category04</v>
      </c>
      <c r="I37" t="str">
        <f>VLOOKUP(InputData[[#This Row],[PRODUCT ID]],MasterData[#All],4,0)</f>
        <v>Kg</v>
      </c>
      <c r="J37" s="8">
        <f>VLOOKUP(InputData[[#This Row],[PRODUCT ID]],MasterData[#All],5,0)</f>
        <v>33</v>
      </c>
      <c r="K37" s="8">
        <f>VLOOKUP(InputData[[#This Row],[PRODUCT ID]],MasterData[#All],6,0)</f>
        <v>36.42</v>
      </c>
      <c r="L37" s="8">
        <f>InputData[[#This Row],[BUYING PRICE]]*InputData[[#This Row],[QUANTITY]]</f>
        <v>396</v>
      </c>
      <c r="M37" s="8">
        <f>InputData[[#This Row],[SELLING PRICE]]*InputData[[#This Row],[QUANTITY]]*(1-InputData[[#This Row],[DISCOUNT %]])</f>
        <v>371.48399999999998</v>
      </c>
      <c r="N37" s="5">
        <f>DAY(InputData[[#This Row],[DATE]])</f>
        <v>8</v>
      </c>
      <c r="O37" s="5" t="str">
        <f>TEXT(InputData[[#This Row],[DATE]],"mmm")</f>
        <v>Dec</v>
      </c>
      <c r="P37" s="5">
        <f>YEAR(InputData[[#This Row],[DATE]])</f>
        <v>2022</v>
      </c>
    </row>
    <row r="38" spans="1:16" x14ac:dyDescent="0.35">
      <c r="A38" s="6">
        <v>44587</v>
      </c>
      <c r="B38" s="3" t="s">
        <v>84</v>
      </c>
      <c r="C38" s="3">
        <v>5</v>
      </c>
      <c r="D38" s="3" t="s">
        <v>111</v>
      </c>
      <c r="E38" s="3" t="s">
        <v>110</v>
      </c>
      <c r="F38" s="4">
        <v>0</v>
      </c>
      <c r="G38" t="str">
        <f>VLOOKUP(InputData[[#This Row],[PRODUCT ID]],MasterData[#All],2,0)</f>
        <v>Product36</v>
      </c>
      <c r="H38" t="str">
        <f>VLOOKUP(InputData[[#This Row],[PRODUCT ID]],MasterData[#All],3,0)</f>
        <v>Category04</v>
      </c>
      <c r="I38" t="str">
        <f>VLOOKUP(InputData[[#This Row],[PRODUCT ID]],MasterData[#All],4,0)</f>
        <v>Lt</v>
      </c>
      <c r="J38" s="8">
        <f>VLOOKUP(InputData[[#This Row],[PRODUCT ID]],MasterData[#All],5,0)</f>
        <v>113</v>
      </c>
      <c r="K38" s="8">
        <f>VLOOKUP(InputData[[#This Row],[PRODUCT ID]],MasterData[#All],6,0)</f>
        <v>142.24</v>
      </c>
      <c r="L38" s="8">
        <f>InputData[[#This Row],[BUYING PRICE]]*InputData[[#This Row],[QUANTITY]]</f>
        <v>565</v>
      </c>
      <c r="M38" s="8">
        <f>InputData[[#This Row],[SELLING PRICE]]*InputData[[#This Row],[QUANTITY]]*(1-InputData[[#This Row],[DISCOUNT %]])</f>
        <v>711.2</v>
      </c>
      <c r="N38" s="5">
        <f>DAY(InputData[[#This Row],[DATE]])</f>
        <v>26</v>
      </c>
      <c r="O38" s="5" t="str">
        <f>TEXT(InputData[[#This Row],[DATE]],"mmm")</f>
        <v>Jan</v>
      </c>
      <c r="P38" s="5">
        <f>YEAR(InputData[[#This Row],[DATE]])</f>
        <v>2022</v>
      </c>
    </row>
    <row r="39" spans="1:16" x14ac:dyDescent="0.35">
      <c r="A39" s="6">
        <v>44972</v>
      </c>
      <c r="B39" s="3" t="s">
        <v>25</v>
      </c>
      <c r="C39" s="3">
        <v>15</v>
      </c>
      <c r="D39" s="3" t="s">
        <v>109</v>
      </c>
      <c r="E39" s="3" t="s">
        <v>110</v>
      </c>
      <c r="F39" s="4">
        <v>0</v>
      </c>
      <c r="G39" t="str">
        <f>VLOOKUP(InputData[[#This Row],[PRODUCT ID]],MasterData[#All],2,0)</f>
        <v>Product08</v>
      </c>
      <c r="H39" t="str">
        <f>VLOOKUP(InputData[[#This Row],[PRODUCT ID]],MasterData[#All],3,0)</f>
        <v>Category01</v>
      </c>
      <c r="I39" t="str">
        <f>VLOOKUP(InputData[[#This Row],[PRODUCT ID]],MasterData[#All],4,0)</f>
        <v>No.</v>
      </c>
      <c r="J39" s="8">
        <f>VLOOKUP(InputData[[#This Row],[PRODUCT ID]],MasterData[#All],5,0)</f>
        <v>76</v>
      </c>
      <c r="K39" s="8">
        <f>VLOOKUP(InputData[[#This Row],[PRODUCT ID]],MasterData[#All],6,0)</f>
        <v>101.33</v>
      </c>
      <c r="L39" s="8">
        <f>InputData[[#This Row],[BUYING PRICE]]*InputData[[#This Row],[QUANTITY]]</f>
        <v>1140</v>
      </c>
      <c r="M39" s="8">
        <f>InputData[[#This Row],[SELLING PRICE]]*InputData[[#This Row],[QUANTITY]]*(1-InputData[[#This Row],[DISCOUNT %]])</f>
        <v>1519.95</v>
      </c>
      <c r="N39" s="5">
        <f>DAY(InputData[[#This Row],[DATE]])</f>
        <v>15</v>
      </c>
      <c r="O39" s="5" t="str">
        <f>TEXT(InputData[[#This Row],[DATE]],"mmm")</f>
        <v>Feb</v>
      </c>
      <c r="P39" s="5">
        <f>YEAR(InputData[[#This Row],[DATE]])</f>
        <v>2023</v>
      </c>
    </row>
    <row r="40" spans="1:16" x14ac:dyDescent="0.35">
      <c r="A40" s="6">
        <v>44259</v>
      </c>
      <c r="B40" s="3" t="s">
        <v>90</v>
      </c>
      <c r="C40" s="3">
        <v>4</v>
      </c>
      <c r="D40" s="3" t="s">
        <v>111</v>
      </c>
      <c r="E40" s="3" t="s">
        <v>111</v>
      </c>
      <c r="F40" s="4">
        <v>0</v>
      </c>
      <c r="G40" t="str">
        <f>VLOOKUP(InputData[[#This Row],[PRODUCT ID]],MasterData[#All],2,0)</f>
        <v>Product39</v>
      </c>
      <c r="H40" t="str">
        <f>VLOOKUP(InputData[[#This Row],[PRODUCT ID]],MasterData[#All],3,0)</f>
        <v>Category02</v>
      </c>
      <c r="I40" t="str">
        <f>VLOOKUP(InputData[[#This Row],[PRODUCT ID]],MasterData[#All],4,0)</f>
        <v>No.</v>
      </c>
      <c r="J40" s="8">
        <f>VLOOKUP(InputData[[#This Row],[PRODUCT ID]],MasterData[#All],5,0)</f>
        <v>7</v>
      </c>
      <c r="K40" s="8">
        <f>VLOOKUP(InputData[[#This Row],[PRODUCT ID]],MasterData[#All],6,0)</f>
        <v>9.02</v>
      </c>
      <c r="L40" s="8">
        <f>InputData[[#This Row],[BUYING PRICE]]*InputData[[#This Row],[QUANTITY]]</f>
        <v>28</v>
      </c>
      <c r="M40" s="8">
        <f>InputData[[#This Row],[SELLING PRICE]]*InputData[[#This Row],[QUANTITY]]*(1-InputData[[#This Row],[DISCOUNT %]])</f>
        <v>36.08</v>
      </c>
      <c r="N40" s="5">
        <f>DAY(InputData[[#This Row],[DATE]])</f>
        <v>4</v>
      </c>
      <c r="O40" s="5" t="str">
        <f>TEXT(InputData[[#This Row],[DATE]],"mmm")</f>
        <v>Mar</v>
      </c>
      <c r="P40" s="5">
        <f>YEAR(InputData[[#This Row],[DATE]])</f>
        <v>2021</v>
      </c>
    </row>
    <row r="41" spans="1:16" x14ac:dyDescent="0.35">
      <c r="A41" s="6">
        <v>44672</v>
      </c>
      <c r="B41" s="3" t="s">
        <v>94</v>
      </c>
      <c r="C41" s="3">
        <v>14</v>
      </c>
      <c r="D41" s="3" t="s">
        <v>112</v>
      </c>
      <c r="E41" s="3" t="s">
        <v>111</v>
      </c>
      <c r="F41" s="4">
        <v>0</v>
      </c>
      <c r="G41" t="str">
        <f>VLOOKUP(InputData[[#This Row],[PRODUCT ID]],MasterData[#All],2,0)</f>
        <v>Product41</v>
      </c>
      <c r="H41" t="str">
        <f>VLOOKUP(InputData[[#This Row],[PRODUCT ID]],MasterData[#All],3,0)</f>
        <v>Category02</v>
      </c>
      <c r="I41" t="str">
        <f>VLOOKUP(InputData[[#This Row],[PRODUCT ID]],MasterData[#All],4,0)</f>
        <v>Lt</v>
      </c>
      <c r="J41" s="8">
        <f>VLOOKUP(InputData[[#This Row],[PRODUCT ID]],MasterData[#All],5,0)</f>
        <v>33</v>
      </c>
      <c r="K41" s="8">
        <f>VLOOKUP(InputData[[#This Row],[PRODUCT ID]],MasterData[#All],6,0)</f>
        <v>38.04</v>
      </c>
      <c r="L41" s="8">
        <f>InputData[[#This Row],[BUYING PRICE]]*InputData[[#This Row],[QUANTITY]]</f>
        <v>462</v>
      </c>
      <c r="M41" s="8">
        <f>InputData[[#This Row],[SELLING PRICE]]*InputData[[#This Row],[QUANTITY]]*(1-InputData[[#This Row],[DISCOUNT %]])</f>
        <v>532.55999999999995</v>
      </c>
      <c r="N41" s="5">
        <f>DAY(InputData[[#This Row],[DATE]])</f>
        <v>21</v>
      </c>
      <c r="O41" s="5" t="str">
        <f>TEXT(InputData[[#This Row],[DATE]],"mmm")</f>
        <v>Apr</v>
      </c>
      <c r="P41" s="5">
        <f>YEAR(InputData[[#This Row],[DATE]])</f>
        <v>2022</v>
      </c>
    </row>
    <row r="42" spans="1:16" x14ac:dyDescent="0.35">
      <c r="A42" s="6">
        <v>45077</v>
      </c>
      <c r="B42" s="3" t="s">
        <v>15</v>
      </c>
      <c r="C42" s="3">
        <v>2</v>
      </c>
      <c r="D42" s="3" t="s">
        <v>111</v>
      </c>
      <c r="E42" s="3" t="s">
        <v>111</v>
      </c>
      <c r="F42" s="4">
        <v>0</v>
      </c>
      <c r="G42" t="str">
        <f>VLOOKUP(InputData[[#This Row],[PRODUCT ID]],MasterData[#All],2,0)</f>
        <v>Product04</v>
      </c>
      <c r="H42" t="str">
        <f>VLOOKUP(InputData[[#This Row],[PRODUCT ID]],MasterData[#All],3,0)</f>
        <v>Category01</v>
      </c>
      <c r="I42" t="str">
        <f>VLOOKUP(InputData[[#This Row],[PRODUCT ID]],MasterData[#All],4,0)</f>
        <v>Dozon</v>
      </c>
      <c r="J42" s="8">
        <f>VLOOKUP(InputData[[#This Row],[PRODUCT ID]],MasterData[#All],5,0)</f>
        <v>13</v>
      </c>
      <c r="K42" s="8">
        <f>VLOOKUP(InputData[[#This Row],[PRODUCT ID]],MasterData[#All],6,0)</f>
        <v>13.79</v>
      </c>
      <c r="L42" s="8">
        <f>InputData[[#This Row],[BUYING PRICE]]*InputData[[#This Row],[QUANTITY]]</f>
        <v>26</v>
      </c>
      <c r="M42" s="8">
        <f>InputData[[#This Row],[SELLING PRICE]]*InputData[[#This Row],[QUANTITY]]*(1-InputData[[#This Row],[DISCOUNT %]])</f>
        <v>27.58</v>
      </c>
      <c r="N42" s="5">
        <f>DAY(InputData[[#This Row],[DATE]])</f>
        <v>31</v>
      </c>
      <c r="O42" s="5" t="str">
        <f>TEXT(InputData[[#This Row],[DATE]],"mmm")</f>
        <v>May</v>
      </c>
      <c r="P42" s="5">
        <f>YEAR(InputData[[#This Row],[DATE]])</f>
        <v>2023</v>
      </c>
    </row>
    <row r="43" spans="1:16" x14ac:dyDescent="0.35">
      <c r="A43" s="6">
        <v>44365</v>
      </c>
      <c r="B43" s="3" t="s">
        <v>6</v>
      </c>
      <c r="C43" s="3">
        <v>6</v>
      </c>
      <c r="D43" s="3" t="s">
        <v>109</v>
      </c>
      <c r="E43" s="3" t="s">
        <v>111</v>
      </c>
      <c r="F43" s="4">
        <v>0</v>
      </c>
      <c r="G43" t="str">
        <f>VLOOKUP(InputData[[#This Row],[PRODUCT ID]],MasterData[#All],2,0)</f>
        <v>Product01</v>
      </c>
      <c r="H43" t="str">
        <f>VLOOKUP(InputData[[#This Row],[PRODUCT ID]],MasterData[#All],3,0)</f>
        <v>Category01</v>
      </c>
      <c r="I43" t="str">
        <f>VLOOKUP(InputData[[#This Row],[PRODUCT ID]],MasterData[#All],4,0)</f>
        <v>Kg</v>
      </c>
      <c r="J43" s="8">
        <f>VLOOKUP(InputData[[#This Row],[PRODUCT ID]],MasterData[#All],5,0)</f>
        <v>11</v>
      </c>
      <c r="K43" s="8">
        <f>VLOOKUP(InputData[[#This Row],[PRODUCT ID]],MasterData[#All],6,0)</f>
        <v>14.4</v>
      </c>
      <c r="L43" s="8">
        <f>InputData[[#This Row],[BUYING PRICE]]*InputData[[#This Row],[QUANTITY]]</f>
        <v>66</v>
      </c>
      <c r="M43" s="8">
        <f>InputData[[#This Row],[SELLING PRICE]]*InputData[[#This Row],[QUANTITY]]*(1-InputData[[#This Row],[DISCOUNT %]])</f>
        <v>86.4</v>
      </c>
      <c r="N43" s="5">
        <f>DAY(InputData[[#This Row],[DATE]])</f>
        <v>18</v>
      </c>
      <c r="O43" s="5" t="str">
        <f>TEXT(InputData[[#This Row],[DATE]],"mmm")</f>
        <v>Jun</v>
      </c>
      <c r="P43" s="5">
        <f>YEAR(InputData[[#This Row],[DATE]])</f>
        <v>2021</v>
      </c>
    </row>
    <row r="44" spans="1:16" x14ac:dyDescent="0.35">
      <c r="A44" s="6">
        <v>44749</v>
      </c>
      <c r="B44" s="3" t="s">
        <v>70</v>
      </c>
      <c r="C44" s="3">
        <v>9</v>
      </c>
      <c r="D44" s="3" t="s">
        <v>111</v>
      </c>
      <c r="E44" s="3" t="s">
        <v>111</v>
      </c>
      <c r="F44" s="4">
        <v>0.1</v>
      </c>
      <c r="G44" t="str">
        <f>VLOOKUP(InputData[[#This Row],[PRODUCT ID]],MasterData[#All],2,0)</f>
        <v>Product29</v>
      </c>
      <c r="H44" t="str">
        <f>VLOOKUP(InputData[[#This Row],[PRODUCT ID]],MasterData[#All],3,0)</f>
        <v>Category04</v>
      </c>
      <c r="I44" t="str">
        <f>VLOOKUP(InputData[[#This Row],[PRODUCT ID]],MasterData[#All],4,0)</f>
        <v>Dozon</v>
      </c>
      <c r="J44" s="8">
        <f>VLOOKUP(InputData[[#This Row],[PRODUCT ID]],MasterData[#All],5,0)</f>
        <v>106</v>
      </c>
      <c r="K44" s="8">
        <f>VLOOKUP(InputData[[#This Row],[PRODUCT ID]],MasterData[#All],6,0)</f>
        <v>144.12</v>
      </c>
      <c r="L44" s="8">
        <f>InputData[[#This Row],[BUYING PRICE]]*InputData[[#This Row],[QUANTITY]]</f>
        <v>954</v>
      </c>
      <c r="M44" s="8">
        <f>InputData[[#This Row],[SELLING PRICE]]*InputData[[#This Row],[QUANTITY]]*(1-InputData[[#This Row],[DISCOUNT %]])</f>
        <v>1167.3720000000001</v>
      </c>
      <c r="N44" s="5">
        <f>DAY(InputData[[#This Row],[DATE]])</f>
        <v>7</v>
      </c>
      <c r="O44" s="5" t="str">
        <f>TEXT(InputData[[#This Row],[DATE]],"mmm")</f>
        <v>Jul</v>
      </c>
      <c r="P44" s="5">
        <f>YEAR(InputData[[#This Row],[DATE]])</f>
        <v>2022</v>
      </c>
    </row>
    <row r="45" spans="1:16" x14ac:dyDescent="0.35">
      <c r="A45" s="6">
        <v>45162</v>
      </c>
      <c r="B45" s="3" t="s">
        <v>25</v>
      </c>
      <c r="C45" s="3">
        <v>2</v>
      </c>
      <c r="D45" s="3" t="s">
        <v>111</v>
      </c>
      <c r="E45" s="3" t="s">
        <v>110</v>
      </c>
      <c r="F45" s="4">
        <v>0.1</v>
      </c>
      <c r="G45" t="str">
        <f>VLOOKUP(InputData[[#This Row],[PRODUCT ID]],MasterData[#All],2,0)</f>
        <v>Product08</v>
      </c>
      <c r="H45" t="str">
        <f>VLOOKUP(InputData[[#This Row],[PRODUCT ID]],MasterData[#All],3,0)</f>
        <v>Category01</v>
      </c>
      <c r="I45" t="str">
        <f>VLOOKUP(InputData[[#This Row],[PRODUCT ID]],MasterData[#All],4,0)</f>
        <v>No.</v>
      </c>
      <c r="J45" s="8">
        <f>VLOOKUP(InputData[[#This Row],[PRODUCT ID]],MasterData[#All],5,0)</f>
        <v>76</v>
      </c>
      <c r="K45" s="8">
        <f>VLOOKUP(InputData[[#This Row],[PRODUCT ID]],MasterData[#All],6,0)</f>
        <v>101.33</v>
      </c>
      <c r="L45" s="8">
        <f>InputData[[#This Row],[BUYING PRICE]]*InputData[[#This Row],[QUANTITY]]</f>
        <v>152</v>
      </c>
      <c r="M45" s="8">
        <f>InputData[[#This Row],[SELLING PRICE]]*InputData[[#This Row],[QUANTITY]]*(1-InputData[[#This Row],[DISCOUNT %]])</f>
        <v>182.39400000000001</v>
      </c>
      <c r="N45" s="5">
        <f>DAY(InputData[[#This Row],[DATE]])</f>
        <v>24</v>
      </c>
      <c r="O45" s="5" t="str">
        <f>TEXT(InputData[[#This Row],[DATE]],"mmm")</f>
        <v>Aug</v>
      </c>
      <c r="P45" s="5">
        <f>YEAR(InputData[[#This Row],[DATE]])</f>
        <v>2023</v>
      </c>
    </row>
    <row r="46" spans="1:16" x14ac:dyDescent="0.35">
      <c r="A46" s="6">
        <v>44441</v>
      </c>
      <c r="B46" s="3" t="s">
        <v>59</v>
      </c>
      <c r="C46" s="3">
        <v>10</v>
      </c>
      <c r="D46" s="3" t="s">
        <v>111</v>
      </c>
      <c r="E46" s="3" t="s">
        <v>110</v>
      </c>
      <c r="F46" s="4">
        <v>0.05</v>
      </c>
      <c r="G46" t="str">
        <f>VLOOKUP(InputData[[#This Row],[PRODUCT ID]],MasterData[#All],2,0)</f>
        <v>Product24</v>
      </c>
      <c r="H46" t="str">
        <f>VLOOKUP(InputData[[#This Row],[PRODUCT ID]],MasterData[#All],3,0)</f>
        <v>Category03</v>
      </c>
      <c r="I46" t="str">
        <f>VLOOKUP(InputData[[#This Row],[PRODUCT ID]],MasterData[#All],4,0)</f>
        <v>Lt</v>
      </c>
      <c r="J46" s="8">
        <f>VLOOKUP(InputData[[#This Row],[PRODUCT ID]],MasterData[#All],5,0)</f>
        <v>147</v>
      </c>
      <c r="K46" s="8">
        <f>VLOOKUP(InputData[[#This Row],[PRODUCT ID]],MasterData[#All],6,0)</f>
        <v>165.65</v>
      </c>
      <c r="L46" s="8">
        <f>InputData[[#This Row],[BUYING PRICE]]*InputData[[#This Row],[QUANTITY]]</f>
        <v>1470</v>
      </c>
      <c r="M46" s="8">
        <f>InputData[[#This Row],[SELLING PRICE]]*InputData[[#This Row],[QUANTITY]]*(1-InputData[[#This Row],[DISCOUNT %]])</f>
        <v>1573.675</v>
      </c>
      <c r="N46" s="5">
        <f>DAY(InputData[[#This Row],[DATE]])</f>
        <v>2</v>
      </c>
      <c r="O46" s="5" t="str">
        <f>TEXT(InputData[[#This Row],[DATE]],"mmm")</f>
        <v>Sep</v>
      </c>
      <c r="P46" s="5">
        <f>YEAR(InputData[[#This Row],[DATE]])</f>
        <v>2021</v>
      </c>
    </row>
    <row r="47" spans="1:16" x14ac:dyDescent="0.35">
      <c r="A47" s="6">
        <v>44850</v>
      </c>
      <c r="B47" s="3" t="s">
        <v>13</v>
      </c>
      <c r="C47" s="3">
        <v>5</v>
      </c>
      <c r="D47" s="3" t="s">
        <v>112</v>
      </c>
      <c r="E47" s="3" t="s">
        <v>110</v>
      </c>
      <c r="F47" s="4">
        <v>0</v>
      </c>
      <c r="G47" t="str">
        <f>VLOOKUP(InputData[[#This Row],[PRODUCT ID]],MasterData[#All],2,0)</f>
        <v>Product03</v>
      </c>
      <c r="H47" t="str">
        <f>VLOOKUP(InputData[[#This Row],[PRODUCT ID]],MasterData[#All],3,0)</f>
        <v>Category01</v>
      </c>
      <c r="I47" t="str">
        <f>VLOOKUP(InputData[[#This Row],[PRODUCT ID]],MasterData[#All],4,0)</f>
        <v>Kg</v>
      </c>
      <c r="J47" s="8">
        <f>VLOOKUP(InputData[[#This Row],[PRODUCT ID]],MasterData[#All],5,0)</f>
        <v>144</v>
      </c>
      <c r="K47" s="8">
        <f>VLOOKUP(InputData[[#This Row],[PRODUCT ID]],MasterData[#All],6,0)</f>
        <v>155.58000000000001</v>
      </c>
      <c r="L47" s="8">
        <f>InputData[[#This Row],[BUYING PRICE]]*InputData[[#This Row],[QUANTITY]]</f>
        <v>720</v>
      </c>
      <c r="M47" s="8">
        <f>InputData[[#This Row],[SELLING PRICE]]*InputData[[#This Row],[QUANTITY]]*(1-InputData[[#This Row],[DISCOUNT %]])</f>
        <v>777.90000000000009</v>
      </c>
      <c r="N47" s="5">
        <f>DAY(InputData[[#This Row],[DATE]])</f>
        <v>16</v>
      </c>
      <c r="O47" s="5" t="str">
        <f>TEXT(InputData[[#This Row],[DATE]],"mmm")</f>
        <v>Oct</v>
      </c>
      <c r="P47" s="5">
        <f>YEAR(InputData[[#This Row],[DATE]])</f>
        <v>2022</v>
      </c>
    </row>
    <row r="48" spans="1:16" x14ac:dyDescent="0.35">
      <c r="A48" s="6">
        <v>45259</v>
      </c>
      <c r="B48" s="3" t="s">
        <v>100</v>
      </c>
      <c r="C48" s="3">
        <v>4</v>
      </c>
      <c r="D48" s="3" t="s">
        <v>111</v>
      </c>
      <c r="E48" s="3" t="s">
        <v>110</v>
      </c>
      <c r="F48" s="4">
        <v>0</v>
      </c>
      <c r="G48" t="str">
        <f>VLOOKUP(InputData[[#This Row],[PRODUCT ID]],MasterData[#All],2,0)</f>
        <v>Product44</v>
      </c>
      <c r="H48" t="str">
        <f>VLOOKUP(InputData[[#This Row],[PRODUCT ID]],MasterData[#All],3,0)</f>
        <v>Category02</v>
      </c>
      <c r="I48" t="str">
        <f>VLOOKUP(InputData[[#This Row],[PRODUCT ID]],MasterData[#All],4,0)</f>
        <v>No.</v>
      </c>
      <c r="J48" s="8">
        <f>VLOOKUP(InputData[[#This Row],[PRODUCT ID]],MasterData[#All],5,0)</f>
        <v>32</v>
      </c>
      <c r="K48" s="8">
        <f>VLOOKUP(InputData[[#This Row],[PRODUCT ID]],MasterData[#All],6,0)</f>
        <v>43.35</v>
      </c>
      <c r="L48" s="8">
        <f>InputData[[#This Row],[BUYING PRICE]]*InputData[[#This Row],[QUANTITY]]</f>
        <v>128</v>
      </c>
      <c r="M48" s="8">
        <f>InputData[[#This Row],[SELLING PRICE]]*InputData[[#This Row],[QUANTITY]]*(1-InputData[[#This Row],[DISCOUNT %]])</f>
        <v>173.4</v>
      </c>
      <c r="N48" s="5">
        <f>DAY(InputData[[#This Row],[DATE]])</f>
        <v>29</v>
      </c>
      <c r="O48" s="5" t="str">
        <f>TEXT(InputData[[#This Row],[DATE]],"mmm")</f>
        <v>Nov</v>
      </c>
      <c r="P48" s="5">
        <f>YEAR(InputData[[#This Row],[DATE]])</f>
        <v>2023</v>
      </c>
    </row>
    <row r="49" spans="1:16" x14ac:dyDescent="0.35">
      <c r="A49" s="6">
        <v>44540</v>
      </c>
      <c r="B49" s="3" t="s">
        <v>84</v>
      </c>
      <c r="C49" s="3">
        <v>15</v>
      </c>
      <c r="D49" s="3" t="s">
        <v>112</v>
      </c>
      <c r="E49" s="3" t="s">
        <v>110</v>
      </c>
      <c r="F49" s="4">
        <v>0</v>
      </c>
      <c r="G49" t="str">
        <f>VLOOKUP(InputData[[#This Row],[PRODUCT ID]],MasterData[#All],2,0)</f>
        <v>Product36</v>
      </c>
      <c r="H49" t="str">
        <f>VLOOKUP(InputData[[#This Row],[PRODUCT ID]],MasterData[#All],3,0)</f>
        <v>Category04</v>
      </c>
      <c r="I49" t="str">
        <f>VLOOKUP(InputData[[#This Row],[PRODUCT ID]],MasterData[#All],4,0)</f>
        <v>Lt</v>
      </c>
      <c r="J49" s="8">
        <f>VLOOKUP(InputData[[#This Row],[PRODUCT ID]],MasterData[#All],5,0)</f>
        <v>113</v>
      </c>
      <c r="K49" s="8">
        <f>VLOOKUP(InputData[[#This Row],[PRODUCT ID]],MasterData[#All],6,0)</f>
        <v>142.24</v>
      </c>
      <c r="L49" s="8">
        <f>InputData[[#This Row],[BUYING PRICE]]*InputData[[#This Row],[QUANTITY]]</f>
        <v>1695</v>
      </c>
      <c r="M49" s="8">
        <f>InputData[[#This Row],[SELLING PRICE]]*InputData[[#This Row],[QUANTITY]]*(1-InputData[[#This Row],[DISCOUNT %]])</f>
        <v>2133.6000000000004</v>
      </c>
      <c r="N49" s="5">
        <f>DAY(InputData[[#This Row],[DATE]])</f>
        <v>10</v>
      </c>
      <c r="O49" s="5" t="str">
        <f>TEXT(InputData[[#This Row],[DATE]],"mmm")</f>
        <v>Dec</v>
      </c>
      <c r="P49" s="5">
        <f>YEAR(InputData[[#This Row],[DATE]])</f>
        <v>2021</v>
      </c>
    </row>
    <row r="50" spans="1:16" x14ac:dyDescent="0.35">
      <c r="A50" s="6">
        <v>44945</v>
      </c>
      <c r="B50" s="3" t="s">
        <v>32</v>
      </c>
      <c r="C50" s="3">
        <v>13</v>
      </c>
      <c r="D50" s="3" t="s">
        <v>109</v>
      </c>
      <c r="E50" s="3" t="s">
        <v>111</v>
      </c>
      <c r="F50" s="4">
        <v>0</v>
      </c>
      <c r="G50" t="str">
        <f>VLOOKUP(InputData[[#This Row],[PRODUCT ID]],MasterData[#All],2,0)</f>
        <v>Product11</v>
      </c>
      <c r="H50" t="str">
        <f>VLOOKUP(InputData[[#This Row],[PRODUCT ID]],MasterData[#All],3,0)</f>
        <v>Category02</v>
      </c>
      <c r="I50" t="str">
        <f>VLOOKUP(InputData[[#This Row],[PRODUCT ID]],MasterData[#All],4,0)</f>
        <v>Lt</v>
      </c>
      <c r="J50" s="8">
        <f>VLOOKUP(InputData[[#This Row],[PRODUCT ID]],MasterData[#All],5,0)</f>
        <v>31</v>
      </c>
      <c r="K50" s="8">
        <f>VLOOKUP(InputData[[#This Row],[PRODUCT ID]],MasterData[#All],6,0)</f>
        <v>33.56</v>
      </c>
      <c r="L50" s="8">
        <f>InputData[[#This Row],[BUYING PRICE]]*InputData[[#This Row],[QUANTITY]]</f>
        <v>403</v>
      </c>
      <c r="M50" s="8">
        <f>InputData[[#This Row],[SELLING PRICE]]*InputData[[#This Row],[QUANTITY]]*(1-InputData[[#This Row],[DISCOUNT %]])</f>
        <v>436.28000000000003</v>
      </c>
      <c r="N50" s="5">
        <f>DAY(InputData[[#This Row],[DATE]])</f>
        <v>19</v>
      </c>
      <c r="O50" s="5" t="str">
        <f>TEXT(InputData[[#This Row],[DATE]],"mmm")</f>
        <v>Jan</v>
      </c>
      <c r="P50" s="5">
        <f>YEAR(InputData[[#This Row],[DATE]])</f>
        <v>2023</v>
      </c>
    </row>
    <row r="51" spans="1:16" x14ac:dyDescent="0.35">
      <c r="A51" s="6">
        <v>44254</v>
      </c>
      <c r="B51" s="3" t="s">
        <v>55</v>
      </c>
      <c r="C51" s="3">
        <v>13</v>
      </c>
      <c r="D51" s="3" t="s">
        <v>112</v>
      </c>
      <c r="E51" s="3" t="s">
        <v>110</v>
      </c>
      <c r="F51" s="4">
        <v>0</v>
      </c>
      <c r="G51" t="str">
        <f>VLOOKUP(InputData[[#This Row],[PRODUCT ID]],MasterData[#All],2,0)</f>
        <v>Product22</v>
      </c>
      <c r="H51" t="str">
        <f>VLOOKUP(InputData[[#This Row],[PRODUCT ID]],MasterData[#All],3,0)</f>
        <v>Category03</v>
      </c>
      <c r="I51" t="str">
        <f>VLOOKUP(InputData[[#This Row],[PRODUCT ID]],MasterData[#All],4,0)</f>
        <v>Kg</v>
      </c>
      <c r="J51" s="8">
        <f>VLOOKUP(InputData[[#This Row],[PRODUCT ID]],MasterData[#All],5,0)</f>
        <v>48</v>
      </c>
      <c r="K51" s="8">
        <f>VLOOKUP(InputData[[#This Row],[PRODUCT ID]],MasterData[#All],6,0)</f>
        <v>59.37</v>
      </c>
      <c r="L51" s="8">
        <f>InputData[[#This Row],[BUYING PRICE]]*InputData[[#This Row],[QUANTITY]]</f>
        <v>624</v>
      </c>
      <c r="M51" s="8">
        <f>InputData[[#This Row],[SELLING PRICE]]*InputData[[#This Row],[QUANTITY]]*(1-InputData[[#This Row],[DISCOUNT %]])</f>
        <v>771.81</v>
      </c>
      <c r="N51" s="5">
        <f>DAY(InputData[[#This Row],[DATE]])</f>
        <v>27</v>
      </c>
      <c r="O51" s="5" t="str">
        <f>TEXT(InputData[[#This Row],[DATE]],"mmm")</f>
        <v>Feb</v>
      </c>
      <c r="P51" s="5">
        <f>YEAR(InputData[[#This Row],[DATE]])</f>
        <v>2021</v>
      </c>
    </row>
    <row r="52" spans="1:16" x14ac:dyDescent="0.35">
      <c r="A52" s="6">
        <v>44633</v>
      </c>
      <c r="B52" s="3" t="s">
        <v>102</v>
      </c>
      <c r="C52" s="3">
        <v>2</v>
      </c>
      <c r="D52" s="3" t="s">
        <v>112</v>
      </c>
      <c r="E52" s="3" t="s">
        <v>110</v>
      </c>
      <c r="F52" s="4">
        <v>0.05</v>
      </c>
      <c r="G52" t="str">
        <f>VLOOKUP(InputData[[#This Row],[PRODUCT ID]],MasterData[#All],2,0)</f>
        <v>Product45</v>
      </c>
      <c r="H52" t="str">
        <f>VLOOKUP(InputData[[#This Row],[PRODUCT ID]],MasterData[#All],3,0)</f>
        <v>Category01</v>
      </c>
      <c r="I52" t="str">
        <f>VLOOKUP(InputData[[#This Row],[PRODUCT ID]],MasterData[#All],4,0)</f>
        <v>Lt</v>
      </c>
      <c r="J52" s="8">
        <f>VLOOKUP(InputData[[#This Row],[PRODUCT ID]],MasterData[#All],5,0)</f>
        <v>134</v>
      </c>
      <c r="K52" s="8">
        <f>VLOOKUP(InputData[[#This Row],[PRODUCT ID]],MasterData[#All],6,0)</f>
        <v>169.26</v>
      </c>
      <c r="L52" s="8">
        <f>InputData[[#This Row],[BUYING PRICE]]*InputData[[#This Row],[QUANTITY]]</f>
        <v>268</v>
      </c>
      <c r="M52" s="8">
        <f>InputData[[#This Row],[SELLING PRICE]]*InputData[[#This Row],[QUANTITY]]*(1-InputData[[#This Row],[DISCOUNT %]])</f>
        <v>321.59399999999999</v>
      </c>
      <c r="N52" s="5">
        <f>DAY(InputData[[#This Row],[DATE]])</f>
        <v>13</v>
      </c>
      <c r="O52" s="5" t="str">
        <f>TEXT(InputData[[#This Row],[DATE]],"mmm")</f>
        <v>Mar</v>
      </c>
      <c r="P52" s="5">
        <f>YEAR(InputData[[#This Row],[DATE]])</f>
        <v>2022</v>
      </c>
    </row>
    <row r="53" spans="1:16" x14ac:dyDescent="0.35">
      <c r="A53" s="6">
        <v>45041</v>
      </c>
      <c r="B53" s="3" t="s">
        <v>36</v>
      </c>
      <c r="C53" s="3">
        <v>14</v>
      </c>
      <c r="D53" s="3" t="s">
        <v>112</v>
      </c>
      <c r="E53" s="3" t="s">
        <v>111</v>
      </c>
      <c r="F53" s="4">
        <v>0</v>
      </c>
      <c r="G53" t="str">
        <f>VLOOKUP(InputData[[#This Row],[PRODUCT ID]],MasterData[#All],2,0)</f>
        <v>Product13</v>
      </c>
      <c r="H53" t="str">
        <f>VLOOKUP(InputData[[#This Row],[PRODUCT ID]],MasterData[#All],3,0)</f>
        <v>Category02</v>
      </c>
      <c r="I53" t="str">
        <f>VLOOKUP(InputData[[#This Row],[PRODUCT ID]],MasterData[#All],4,0)</f>
        <v>No.</v>
      </c>
      <c r="J53" s="8">
        <f>VLOOKUP(InputData[[#This Row],[PRODUCT ID]],MasterData[#All],5,0)</f>
        <v>72</v>
      </c>
      <c r="K53" s="8">
        <f>VLOOKUP(InputData[[#This Row],[PRODUCT ID]],MasterData[#All],6,0)</f>
        <v>95.94</v>
      </c>
      <c r="L53" s="8">
        <f>InputData[[#This Row],[BUYING PRICE]]*InputData[[#This Row],[QUANTITY]]</f>
        <v>1008</v>
      </c>
      <c r="M53" s="8">
        <f>InputData[[#This Row],[SELLING PRICE]]*InputData[[#This Row],[QUANTITY]]*(1-InputData[[#This Row],[DISCOUNT %]])</f>
        <v>1343.1599999999999</v>
      </c>
      <c r="N53" s="5">
        <f>DAY(InputData[[#This Row],[DATE]])</f>
        <v>25</v>
      </c>
      <c r="O53" s="5" t="str">
        <f>TEXT(InputData[[#This Row],[DATE]],"mmm")</f>
        <v>Apr</v>
      </c>
      <c r="P53" s="5">
        <f>YEAR(InputData[[#This Row],[DATE]])</f>
        <v>2023</v>
      </c>
    </row>
    <row r="54" spans="1:16" x14ac:dyDescent="0.35">
      <c r="A54" s="6">
        <v>44324</v>
      </c>
      <c r="B54" s="3" t="s">
        <v>40</v>
      </c>
      <c r="C54" s="3">
        <v>4</v>
      </c>
      <c r="D54" s="3" t="s">
        <v>109</v>
      </c>
      <c r="E54" s="3" t="s">
        <v>110</v>
      </c>
      <c r="F54" s="4">
        <v>0.05</v>
      </c>
      <c r="G54" t="str">
        <f>VLOOKUP(InputData[[#This Row],[PRODUCT ID]],MasterData[#All],2,0)</f>
        <v>Product15</v>
      </c>
      <c r="H54" t="str">
        <f>VLOOKUP(InputData[[#This Row],[PRODUCT ID]],MasterData[#All],3,0)</f>
        <v>Category02</v>
      </c>
      <c r="I54" t="str">
        <f>VLOOKUP(InputData[[#This Row],[PRODUCT ID]],MasterData[#All],4,0)</f>
        <v>Dozon</v>
      </c>
      <c r="J54" s="8">
        <f>VLOOKUP(InputData[[#This Row],[PRODUCT ID]],MasterData[#All],5,0)</f>
        <v>25</v>
      </c>
      <c r="K54" s="8">
        <f>VLOOKUP(InputData[[#This Row],[PRODUCT ID]],MasterData[#All],6,0)</f>
        <v>31.08</v>
      </c>
      <c r="L54" s="8">
        <f>InputData[[#This Row],[BUYING PRICE]]*InputData[[#This Row],[QUANTITY]]</f>
        <v>100</v>
      </c>
      <c r="M54" s="8">
        <f>InputData[[#This Row],[SELLING PRICE]]*InputData[[#This Row],[QUANTITY]]*(1-InputData[[#This Row],[DISCOUNT %]])</f>
        <v>118.10399999999998</v>
      </c>
      <c r="N54" s="5">
        <f>DAY(InputData[[#This Row],[DATE]])</f>
        <v>8</v>
      </c>
      <c r="O54" s="5" t="str">
        <f>TEXT(InputData[[#This Row],[DATE]],"mmm")</f>
        <v>May</v>
      </c>
      <c r="P54" s="5">
        <f>YEAR(InputData[[#This Row],[DATE]])</f>
        <v>2021</v>
      </c>
    </row>
    <row r="55" spans="1:16" x14ac:dyDescent="0.35">
      <c r="A55" s="6">
        <v>44734</v>
      </c>
      <c r="B55" s="3" t="s">
        <v>46</v>
      </c>
      <c r="C55" s="3">
        <v>14</v>
      </c>
      <c r="D55" s="3" t="s">
        <v>109</v>
      </c>
      <c r="E55" s="3" t="s">
        <v>111</v>
      </c>
      <c r="F55" s="4">
        <v>0</v>
      </c>
      <c r="G55" t="str">
        <f>VLOOKUP(InputData[[#This Row],[PRODUCT ID]],MasterData[#All],2,0)</f>
        <v>Product18</v>
      </c>
      <c r="H55" t="str">
        <f>VLOOKUP(InputData[[#This Row],[PRODUCT ID]],MasterData[#All],3,0)</f>
        <v>Category02</v>
      </c>
      <c r="I55" t="str">
        <f>VLOOKUP(InputData[[#This Row],[PRODUCT ID]],MasterData[#All],4,0)</f>
        <v>Lt</v>
      </c>
      <c r="J55" s="8">
        <f>VLOOKUP(InputData[[#This Row],[PRODUCT ID]],MasterData[#All],5,0)</f>
        <v>25</v>
      </c>
      <c r="K55" s="8">
        <f>VLOOKUP(InputData[[#This Row],[PRODUCT ID]],MasterData[#All],6,0)</f>
        <v>33.729999999999997</v>
      </c>
      <c r="L55" s="8">
        <f>InputData[[#This Row],[BUYING PRICE]]*InputData[[#This Row],[QUANTITY]]</f>
        <v>350</v>
      </c>
      <c r="M55" s="8">
        <f>InputData[[#This Row],[SELLING PRICE]]*InputData[[#This Row],[QUANTITY]]*(1-InputData[[#This Row],[DISCOUNT %]])</f>
        <v>472.21999999999997</v>
      </c>
      <c r="N55" s="5">
        <f>DAY(InputData[[#This Row],[DATE]])</f>
        <v>22</v>
      </c>
      <c r="O55" s="5" t="str">
        <f>TEXT(InputData[[#This Row],[DATE]],"mmm")</f>
        <v>Jun</v>
      </c>
      <c r="P55" s="5">
        <f>YEAR(InputData[[#This Row],[DATE]])</f>
        <v>2022</v>
      </c>
    </row>
    <row r="56" spans="1:16" x14ac:dyDescent="0.35">
      <c r="A56" s="6">
        <v>45110</v>
      </c>
      <c r="B56" s="3" t="s">
        <v>78</v>
      </c>
      <c r="C56" s="3">
        <v>7</v>
      </c>
      <c r="D56" s="3" t="s">
        <v>111</v>
      </c>
      <c r="E56" s="3" t="s">
        <v>111</v>
      </c>
      <c r="F56" s="4">
        <v>0</v>
      </c>
      <c r="G56" t="str">
        <f>VLOOKUP(InputData[[#This Row],[PRODUCT ID]],MasterData[#All],2,0)</f>
        <v>Product33</v>
      </c>
      <c r="H56" t="str">
        <f>VLOOKUP(InputData[[#This Row],[PRODUCT ID]],MasterData[#All],3,0)</f>
        <v>Category04</v>
      </c>
      <c r="I56" t="str">
        <f>VLOOKUP(InputData[[#This Row],[PRODUCT ID]],MasterData[#All],4,0)</f>
        <v>Dozon</v>
      </c>
      <c r="J56" s="8">
        <f>VLOOKUP(InputData[[#This Row],[PRODUCT ID]],MasterData[#All],5,0)</f>
        <v>97</v>
      </c>
      <c r="K56" s="8">
        <f>VLOOKUP(InputData[[#This Row],[PRODUCT ID]],MasterData[#All],6,0)</f>
        <v>109.3</v>
      </c>
      <c r="L56" s="8">
        <f>InputData[[#This Row],[BUYING PRICE]]*InputData[[#This Row],[QUANTITY]]</f>
        <v>679</v>
      </c>
      <c r="M56" s="8">
        <f>InputData[[#This Row],[SELLING PRICE]]*InputData[[#This Row],[QUANTITY]]*(1-InputData[[#This Row],[DISCOUNT %]])</f>
        <v>765.1</v>
      </c>
      <c r="N56" s="5">
        <f>DAY(InputData[[#This Row],[DATE]])</f>
        <v>3</v>
      </c>
      <c r="O56" s="5" t="str">
        <f>TEXT(InputData[[#This Row],[DATE]],"mmm")</f>
        <v>Jul</v>
      </c>
      <c r="P56" s="5">
        <f>YEAR(InputData[[#This Row],[DATE]])</f>
        <v>2023</v>
      </c>
    </row>
    <row r="57" spans="1:16" x14ac:dyDescent="0.35">
      <c r="A57" s="6">
        <v>44425</v>
      </c>
      <c r="B57" s="3" t="s">
        <v>44</v>
      </c>
      <c r="C57" s="3">
        <v>3</v>
      </c>
      <c r="D57" s="3" t="s">
        <v>111</v>
      </c>
      <c r="E57" s="3" t="s">
        <v>111</v>
      </c>
      <c r="F57" s="4">
        <v>0</v>
      </c>
      <c r="G57" t="str">
        <f>VLOOKUP(InputData[[#This Row],[PRODUCT ID]],MasterData[#All],2,0)</f>
        <v>Product17</v>
      </c>
      <c r="H57" t="str">
        <f>VLOOKUP(InputData[[#This Row],[PRODUCT ID]],MasterData[#All],3,0)</f>
        <v>Category02</v>
      </c>
      <c r="I57" t="str">
        <f>VLOOKUP(InputData[[#This Row],[PRODUCT ID]],MasterData[#All],4,0)</f>
        <v>Kg</v>
      </c>
      <c r="J57" s="8">
        <f>VLOOKUP(InputData[[#This Row],[PRODUCT ID]],MasterData[#All],5,0)</f>
        <v>16</v>
      </c>
      <c r="K57" s="8">
        <f>VLOOKUP(InputData[[#This Row],[PRODUCT ID]],MasterData[#All],6,0)</f>
        <v>20.5</v>
      </c>
      <c r="L57" s="8">
        <f>InputData[[#This Row],[BUYING PRICE]]*InputData[[#This Row],[QUANTITY]]</f>
        <v>48</v>
      </c>
      <c r="M57" s="8">
        <f>InputData[[#This Row],[SELLING PRICE]]*InputData[[#This Row],[QUANTITY]]*(1-InputData[[#This Row],[DISCOUNT %]])</f>
        <v>61.5</v>
      </c>
      <c r="N57" s="5">
        <f>DAY(InputData[[#This Row],[DATE]])</f>
        <v>17</v>
      </c>
      <c r="O57" s="5" t="str">
        <f>TEXT(InputData[[#This Row],[DATE]],"mmm")</f>
        <v>Aug</v>
      </c>
      <c r="P57" s="5">
        <f>YEAR(InputData[[#This Row],[DATE]])</f>
        <v>2021</v>
      </c>
    </row>
    <row r="58" spans="1:16" x14ac:dyDescent="0.35">
      <c r="A58" s="6">
        <v>44832</v>
      </c>
      <c r="B58" s="3" t="s">
        <v>90</v>
      </c>
      <c r="C58" s="3">
        <v>7</v>
      </c>
      <c r="D58" s="3" t="s">
        <v>112</v>
      </c>
      <c r="E58" s="3" t="s">
        <v>111</v>
      </c>
      <c r="F58" s="4">
        <v>0.05</v>
      </c>
      <c r="G58" t="str">
        <f>VLOOKUP(InputData[[#This Row],[PRODUCT ID]],MasterData[#All],2,0)</f>
        <v>Product39</v>
      </c>
      <c r="H58" t="str">
        <f>VLOOKUP(InputData[[#This Row],[PRODUCT ID]],MasterData[#All],3,0)</f>
        <v>Category02</v>
      </c>
      <c r="I58" t="str">
        <f>VLOOKUP(InputData[[#This Row],[PRODUCT ID]],MasterData[#All],4,0)</f>
        <v>No.</v>
      </c>
      <c r="J58" s="8">
        <f>VLOOKUP(InputData[[#This Row],[PRODUCT ID]],MasterData[#All],5,0)</f>
        <v>7</v>
      </c>
      <c r="K58" s="8">
        <f>VLOOKUP(InputData[[#This Row],[PRODUCT ID]],MasterData[#All],6,0)</f>
        <v>9.02</v>
      </c>
      <c r="L58" s="8">
        <f>InputData[[#This Row],[BUYING PRICE]]*InputData[[#This Row],[QUANTITY]]</f>
        <v>49</v>
      </c>
      <c r="M58" s="8">
        <f>InputData[[#This Row],[SELLING PRICE]]*InputData[[#This Row],[QUANTITY]]*(1-InputData[[#This Row],[DISCOUNT %]])</f>
        <v>59.982999999999997</v>
      </c>
      <c r="N58" s="5">
        <f>DAY(InputData[[#This Row],[DATE]])</f>
        <v>28</v>
      </c>
      <c r="O58" s="5" t="str">
        <f>TEXT(InputData[[#This Row],[DATE]],"mmm")</f>
        <v>Sep</v>
      </c>
      <c r="P58" s="5">
        <f>YEAR(InputData[[#This Row],[DATE]])</f>
        <v>2022</v>
      </c>
    </row>
    <row r="59" spans="1:16" x14ac:dyDescent="0.35">
      <c r="A59" s="6">
        <v>45205</v>
      </c>
      <c r="B59" s="3" t="s">
        <v>78</v>
      </c>
      <c r="C59" s="3">
        <v>2</v>
      </c>
      <c r="D59" s="3" t="s">
        <v>112</v>
      </c>
      <c r="E59" s="3" t="s">
        <v>110</v>
      </c>
      <c r="F59" s="4">
        <v>0</v>
      </c>
      <c r="G59" t="str">
        <f>VLOOKUP(InputData[[#This Row],[PRODUCT ID]],MasterData[#All],2,0)</f>
        <v>Product33</v>
      </c>
      <c r="H59" t="str">
        <f>VLOOKUP(InputData[[#This Row],[PRODUCT ID]],MasterData[#All],3,0)</f>
        <v>Category04</v>
      </c>
      <c r="I59" t="str">
        <f>VLOOKUP(InputData[[#This Row],[PRODUCT ID]],MasterData[#All],4,0)</f>
        <v>Dozon</v>
      </c>
      <c r="J59" s="8">
        <f>VLOOKUP(InputData[[#This Row],[PRODUCT ID]],MasterData[#All],5,0)</f>
        <v>97</v>
      </c>
      <c r="K59" s="8">
        <f>VLOOKUP(InputData[[#This Row],[PRODUCT ID]],MasterData[#All],6,0)</f>
        <v>109.3</v>
      </c>
      <c r="L59" s="8">
        <f>InputData[[#This Row],[BUYING PRICE]]*InputData[[#This Row],[QUANTITY]]</f>
        <v>194</v>
      </c>
      <c r="M59" s="8">
        <f>InputData[[#This Row],[SELLING PRICE]]*InputData[[#This Row],[QUANTITY]]*(1-InputData[[#This Row],[DISCOUNT %]])</f>
        <v>218.6</v>
      </c>
      <c r="N59" s="5">
        <f>DAY(InputData[[#This Row],[DATE]])</f>
        <v>6</v>
      </c>
      <c r="O59" s="5" t="str">
        <f>TEXT(InputData[[#This Row],[DATE]],"mmm")</f>
        <v>Oct</v>
      </c>
      <c r="P59" s="5">
        <f>YEAR(InputData[[#This Row],[DATE]])</f>
        <v>2023</v>
      </c>
    </row>
    <row r="60" spans="1:16" x14ac:dyDescent="0.35">
      <c r="A60" s="6">
        <v>44515</v>
      </c>
      <c r="B60" s="3" t="s">
        <v>67</v>
      </c>
      <c r="C60" s="3">
        <v>1</v>
      </c>
      <c r="D60" s="3" t="s">
        <v>111</v>
      </c>
      <c r="E60" s="3" t="s">
        <v>110</v>
      </c>
      <c r="F60" s="4">
        <v>0</v>
      </c>
      <c r="G60" t="str">
        <f>VLOOKUP(InputData[[#This Row],[PRODUCT ID]],MasterData[#All],2,0)</f>
        <v>Product28</v>
      </c>
      <c r="H60" t="str">
        <f>VLOOKUP(InputData[[#This Row],[PRODUCT ID]],MasterData[#All],3,0)</f>
        <v>Category04</v>
      </c>
      <c r="I60" t="str">
        <f>VLOOKUP(InputData[[#This Row],[PRODUCT ID]],MasterData[#All],4,0)</f>
        <v>No.</v>
      </c>
      <c r="J60" s="8">
        <f>VLOOKUP(InputData[[#This Row],[PRODUCT ID]],MasterData[#All],5,0)</f>
        <v>85</v>
      </c>
      <c r="K60" s="8">
        <f>VLOOKUP(InputData[[#This Row],[PRODUCT ID]],MasterData[#All],6,0)</f>
        <v>95.58</v>
      </c>
      <c r="L60" s="8">
        <f>InputData[[#This Row],[BUYING PRICE]]*InputData[[#This Row],[QUANTITY]]</f>
        <v>85</v>
      </c>
      <c r="M60" s="8">
        <f>InputData[[#This Row],[SELLING PRICE]]*InputData[[#This Row],[QUANTITY]]*(1-InputData[[#This Row],[DISCOUNT %]])</f>
        <v>95.58</v>
      </c>
      <c r="N60" s="5">
        <f>DAY(InputData[[#This Row],[DATE]])</f>
        <v>15</v>
      </c>
      <c r="O60" s="5" t="str">
        <f>TEXT(InputData[[#This Row],[DATE]],"mmm")</f>
        <v>Nov</v>
      </c>
      <c r="P60" s="5">
        <f>YEAR(InputData[[#This Row],[DATE]])</f>
        <v>2021</v>
      </c>
    </row>
    <row r="61" spans="1:16" x14ac:dyDescent="0.35">
      <c r="A61" s="6">
        <v>44915</v>
      </c>
      <c r="B61" s="3" t="s">
        <v>18</v>
      </c>
      <c r="C61" s="3">
        <v>11</v>
      </c>
      <c r="D61" s="3" t="s">
        <v>112</v>
      </c>
      <c r="E61" s="3" t="s">
        <v>111</v>
      </c>
      <c r="F61" s="4">
        <v>0.15</v>
      </c>
      <c r="G61" t="str">
        <f>VLOOKUP(InputData[[#This Row],[PRODUCT ID]],MasterData[#All],2,0)</f>
        <v>Product05</v>
      </c>
      <c r="H61" t="str">
        <f>VLOOKUP(InputData[[#This Row],[PRODUCT ID]],MasterData[#All],3,0)</f>
        <v>Category01</v>
      </c>
      <c r="I61" t="str">
        <f>VLOOKUP(InputData[[#This Row],[PRODUCT ID]],MasterData[#All],4,0)</f>
        <v>Lt</v>
      </c>
      <c r="J61" s="8">
        <f>VLOOKUP(InputData[[#This Row],[PRODUCT ID]],MasterData[#All],5,0)</f>
        <v>64</v>
      </c>
      <c r="K61" s="8">
        <f>VLOOKUP(InputData[[#This Row],[PRODUCT ID]],MasterData[#All],6,0)</f>
        <v>78.52</v>
      </c>
      <c r="L61" s="8">
        <f>InputData[[#This Row],[BUYING PRICE]]*InputData[[#This Row],[QUANTITY]]</f>
        <v>704</v>
      </c>
      <c r="M61" s="8">
        <f>InputData[[#This Row],[SELLING PRICE]]*InputData[[#This Row],[QUANTITY]]*(1-InputData[[#This Row],[DISCOUNT %]])</f>
        <v>734.16199999999992</v>
      </c>
      <c r="N61" s="5">
        <f>DAY(InputData[[#This Row],[DATE]])</f>
        <v>20</v>
      </c>
      <c r="O61" s="5" t="str">
        <f>TEXT(InputData[[#This Row],[DATE]],"mmm")</f>
        <v>Dec</v>
      </c>
      <c r="P61" s="5">
        <f>YEAR(InputData[[#This Row],[DATE]])</f>
        <v>2022</v>
      </c>
    </row>
    <row r="62" spans="1:16" x14ac:dyDescent="0.35">
      <c r="A62" s="6"/>
      <c r="B62" s="3" t="s">
        <v>18</v>
      </c>
      <c r="C62" s="3">
        <v>13</v>
      </c>
      <c r="D62" s="3" t="s">
        <v>111</v>
      </c>
      <c r="E62" s="3" t="s">
        <v>110</v>
      </c>
      <c r="F62" s="4">
        <v>0</v>
      </c>
      <c r="G62" s="5" t="str">
        <f>VLOOKUP(InputData[[#This Row],[PRODUCT ID]],MasterData[#All],2,0)</f>
        <v>Product05</v>
      </c>
      <c r="H62" s="5" t="str">
        <f>VLOOKUP(InputData[[#This Row],[PRODUCT ID]],MasterData[#All],3,0)</f>
        <v>Category01</v>
      </c>
      <c r="I62" s="5" t="str">
        <f>VLOOKUP(InputData[[#This Row],[PRODUCT ID]],MasterData[#All],4,0)</f>
        <v>Lt</v>
      </c>
      <c r="J62" s="8">
        <f>VLOOKUP(InputData[[#This Row],[PRODUCT ID]],MasterData[#All],5,0)</f>
        <v>64</v>
      </c>
      <c r="K62" s="8">
        <f>VLOOKUP(InputData[[#This Row],[PRODUCT ID]],MasterData[#All],6,0)</f>
        <v>78.52</v>
      </c>
      <c r="L62" s="8">
        <f>InputData[[#This Row],[BUYING PRICE]]*InputData[[#This Row],[QUANTITY]]</f>
        <v>832</v>
      </c>
      <c r="M62" s="8">
        <f>InputData[[#This Row],[SELLING PRICE]]*InputData[[#This Row],[QUANTITY]]*(1-InputData[[#This Row],[DISCOUNT %]])</f>
        <v>1020.76</v>
      </c>
      <c r="N62" s="5">
        <f>DAY(InputData[[#This Row],[DATE]])</f>
        <v>0</v>
      </c>
      <c r="O62" s="5" t="str">
        <f>TEXT(InputData[[#This Row],[DATE]],"mmm")</f>
        <v>Jan</v>
      </c>
      <c r="P62" s="5">
        <f>YEAR(InputData[[#This Row],[DATE]])</f>
        <v>1900</v>
      </c>
    </row>
  </sheetData>
  <dataValidations count="2">
    <dataValidation type="list" allowBlank="1" showInputMessage="1" showErrorMessage="1" sqref="D2:D62" xr:uid="{CE44A61B-8C30-4D67-A50E-A50E2448F9E7}">
      <formula1>"Wholesaler,Online,Direct Sales"</formula1>
    </dataValidation>
    <dataValidation type="list" allowBlank="1" showInputMessage="1" showErrorMessage="1" sqref="E2:E1048576" xr:uid="{F24BE8DD-5848-4D0F-B75E-D95D94E15EA4}">
      <formula1>"Cash,Online"</formula1>
    </dataValidation>
  </dataValidations>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75CBC-077C-4759-8110-6EC181A0C881}">
  <dimension ref="A1:AP73"/>
  <sheetViews>
    <sheetView topLeftCell="F1" zoomScale="103" zoomScaleNormal="100" workbookViewId="0">
      <selection activeCell="N4" sqref="N4:N15"/>
    </sheetView>
  </sheetViews>
  <sheetFormatPr defaultRowHeight="14.5" x14ac:dyDescent="0.35"/>
  <cols>
    <col min="1" max="1" width="12.453125" bestFit="1" customWidth="1"/>
    <col min="2" max="2" width="22.90625" bestFit="1" customWidth="1"/>
    <col min="4" max="4" width="22.90625" bestFit="1" customWidth="1"/>
    <col min="5" max="5" width="23" bestFit="1" customWidth="1"/>
    <col min="6" max="6" width="10.1796875" customWidth="1"/>
    <col min="7" max="7" width="12.453125" bestFit="1" customWidth="1"/>
    <col min="8" max="8" width="22.90625" bestFit="1" customWidth="1"/>
    <col min="9" max="9" width="23" bestFit="1" customWidth="1"/>
    <col min="10" max="10" width="10.1796875" customWidth="1"/>
    <col min="11" max="11" width="9.36328125" customWidth="1"/>
    <col min="12" max="12" width="11.54296875" bestFit="1" customWidth="1"/>
    <col min="13" max="13" width="10.54296875" bestFit="1" customWidth="1"/>
    <col min="14" max="15" width="9.36328125" customWidth="1"/>
    <col min="16" max="16" width="11.26953125" bestFit="1" customWidth="1"/>
    <col min="17" max="17" width="7.54296875" bestFit="1" customWidth="1"/>
    <col min="18" max="18" width="22.90625" bestFit="1" customWidth="1"/>
    <col min="19" max="19" width="16" bestFit="1" customWidth="1"/>
    <col min="20" max="20" width="9.54296875" customWidth="1"/>
    <col min="21" max="21" width="10.54296875" customWidth="1"/>
    <col min="22" max="25" width="10.36328125" customWidth="1"/>
    <col min="26" max="26" width="8.453125" customWidth="1"/>
    <col min="27" max="27" width="9.453125" bestFit="1" customWidth="1"/>
    <col min="28" max="28" width="8.26953125" customWidth="1"/>
    <col min="31" max="31" width="12.453125" bestFit="1" customWidth="1"/>
    <col min="32" max="32" width="22.90625" bestFit="1" customWidth="1"/>
    <col min="33" max="33" width="10.7265625" customWidth="1"/>
    <col min="34" max="34" width="9.6328125" customWidth="1"/>
    <col min="35" max="35" width="10.26953125" bestFit="1" customWidth="1"/>
    <col min="36" max="36" width="11.54296875" bestFit="1" customWidth="1"/>
    <col min="37" max="37" width="11.90625" customWidth="1"/>
    <col min="38" max="38" width="12.453125" bestFit="1" customWidth="1"/>
    <col min="39" max="39" width="22.90625" bestFit="1" customWidth="1"/>
    <col min="41" max="41" width="12.453125" bestFit="1" customWidth="1"/>
    <col min="42" max="42" width="22.90625" bestFit="1" customWidth="1"/>
  </cols>
  <sheetData>
    <row r="1" spans="1:42" x14ac:dyDescent="0.35">
      <c r="D1" t="s">
        <v>119</v>
      </c>
      <c r="E1" t="s">
        <v>120</v>
      </c>
      <c r="G1" s="9" t="s">
        <v>118</v>
      </c>
      <c r="H1" t="s">
        <v>119</v>
      </c>
      <c r="I1" t="s">
        <v>120</v>
      </c>
      <c r="L1" t="b">
        <v>1</v>
      </c>
      <c r="M1" t="b">
        <v>1</v>
      </c>
      <c r="N1" t="b">
        <v>1</v>
      </c>
      <c r="P1" s="9" t="s">
        <v>1</v>
      </c>
      <c r="Q1" s="9" t="s">
        <v>3</v>
      </c>
      <c r="R1" t="s">
        <v>119</v>
      </c>
      <c r="S1" t="s">
        <v>123</v>
      </c>
      <c r="V1" t="str">
        <f ca="1">VLOOKUP(1,$U:$Y,2,0)</f>
        <v>Product36</v>
      </c>
      <c r="W1" t="str">
        <f ca="1">VLOOKUP(1,$U:$Y,3,0)</f>
        <v>Lt</v>
      </c>
      <c r="X1" s="16">
        <f ca="1">VLOOKUP(1,$U:$Y,4,0)</f>
        <v>4409.4400000000005</v>
      </c>
      <c r="Y1">
        <f ca="1">VLOOKUP(1,$U:$Y,5,0)</f>
        <v>31</v>
      </c>
      <c r="AA1">
        <v>1</v>
      </c>
      <c r="AE1" s="9" t="s">
        <v>118</v>
      </c>
      <c r="AF1" t="s">
        <v>119</v>
      </c>
      <c r="AI1" t="str">
        <f ca="1">VLOOKUP(1,$AH:$AJ,2,0)</f>
        <v>Category04</v>
      </c>
      <c r="AJ1" s="16">
        <f ca="1">VLOOKUP(1,$AH:$AJ,3,0)</f>
        <v>12088.738000000001</v>
      </c>
      <c r="AL1" s="9" t="s">
        <v>118</v>
      </c>
      <c r="AM1" t="s">
        <v>119</v>
      </c>
      <c r="AO1" s="9" t="s">
        <v>118</v>
      </c>
      <c r="AP1" t="s">
        <v>119</v>
      </c>
    </row>
    <row r="2" spans="1:42" x14ac:dyDescent="0.35">
      <c r="D2" s="5">
        <v>40152.018499999998</v>
      </c>
      <c r="E2" s="5">
        <v>34221</v>
      </c>
      <c r="G2" s="10" t="s">
        <v>121</v>
      </c>
      <c r="H2" s="5">
        <v>5723.7280000000001</v>
      </c>
      <c r="I2" s="5">
        <v>5139</v>
      </c>
      <c r="J2" s="5"/>
      <c r="K2" s="14" t="s">
        <v>116</v>
      </c>
      <c r="L2" s="14" t="s">
        <v>127</v>
      </c>
      <c r="M2" s="14" t="s">
        <v>128</v>
      </c>
      <c r="N2" s="14" t="s">
        <v>126</v>
      </c>
      <c r="O2" s="5"/>
      <c r="P2" t="s">
        <v>7</v>
      </c>
      <c r="Q2" t="s">
        <v>9</v>
      </c>
      <c r="R2" s="5">
        <v>115.2</v>
      </c>
      <c r="S2" s="5">
        <v>8</v>
      </c>
      <c r="T2" s="5"/>
      <c r="U2" s="5">
        <f ca="1">RANK(X2,X2:X37)</f>
        <v>33</v>
      </c>
      <c r="V2" s="5" t="str">
        <f ca="1">OFFSET($P$1,1,0,COUNT($R:$R))</f>
        <v>Product01</v>
      </c>
      <c r="W2" s="5" t="str">
        <f ca="1">OFFSET($P$1,1,1,COUNT($R:$R))</f>
        <v>Kg</v>
      </c>
      <c r="X2" s="5">
        <f ca="1">OFFSET($P$1,1,2,COUNT($R:$R))</f>
        <v>115.2</v>
      </c>
      <c r="Y2" s="5">
        <f ca="1">OFFSET($P$1,1,3,COUNT($R:$R))</f>
        <v>8</v>
      </c>
      <c r="Z2" s="5"/>
      <c r="AA2" s="5" t="str">
        <f ca="1">IFERROR(INDEX(V2:V37,$AA$1),NA())</f>
        <v>Product01</v>
      </c>
      <c r="AB2" s="5" t="str">
        <f ca="1">IFERROR(INDEX(W2:W37,$AA$1),NA())</f>
        <v>Kg</v>
      </c>
      <c r="AC2" s="5">
        <f ca="1">IFERROR(INDEX(X2:X37,$AA$1),NA())</f>
        <v>115.2</v>
      </c>
      <c r="AD2" s="5"/>
      <c r="AE2" s="10" t="s">
        <v>8</v>
      </c>
      <c r="AF2" s="5">
        <v>9861.1584999999995</v>
      </c>
      <c r="AG2" s="5"/>
      <c r="AH2" s="5">
        <f ca="1">RANK(AJ2,AJ2:AJ5)</f>
        <v>2</v>
      </c>
      <c r="AI2" s="5" t="str">
        <f ca="1">OFFSET($AE$1,1,0,COUNT($AF:$AF))</f>
        <v>Category01</v>
      </c>
      <c r="AJ2" s="16">
        <f ca="1">OFFSET($AE$1,1,1,COUNT($AF:$AF))</f>
        <v>9861.1584999999995</v>
      </c>
      <c r="AL2" s="10" t="s">
        <v>109</v>
      </c>
      <c r="AM2" s="5">
        <v>12572.136999999999</v>
      </c>
      <c r="AO2" s="10" t="s">
        <v>110</v>
      </c>
      <c r="AP2" s="5">
        <v>27417.417000000005</v>
      </c>
    </row>
    <row r="3" spans="1:42" x14ac:dyDescent="0.35">
      <c r="A3" s="9" t="s">
        <v>118</v>
      </c>
      <c r="B3" t="s">
        <v>119</v>
      </c>
      <c r="G3" s="10" t="s">
        <v>122</v>
      </c>
      <c r="H3" s="5">
        <v>2734.4449999999997</v>
      </c>
      <c r="I3" s="5">
        <v>2127</v>
      </c>
      <c r="J3" s="5"/>
      <c r="K3" s="10" t="s">
        <v>121</v>
      </c>
      <c r="L3" s="15">
        <f>IF($L$1=TRUE,VLOOKUP(K3,G:I,2,0),NA())</f>
        <v>5723.7280000000001</v>
      </c>
      <c r="M3" s="15">
        <f>IF($M$1=TRUE,VLOOKUP(K3,G:I,2,0)-VLOOKUP(K3,G:I,3,0),NA())</f>
        <v>584.72800000000007</v>
      </c>
      <c r="N3" s="12">
        <f>IF($N$1=TRUE,M3/VLOOKUP(K3,G:I,2,0)," ")</f>
        <v>0.10215859314069432</v>
      </c>
      <c r="O3" s="5"/>
      <c r="P3" t="s">
        <v>11</v>
      </c>
      <c r="Q3" t="s">
        <v>12</v>
      </c>
      <c r="R3" s="5">
        <v>613.16999999999996</v>
      </c>
      <c r="S3" s="5">
        <v>10</v>
      </c>
      <c r="T3" s="5"/>
      <c r="U3" s="5">
        <f t="shared" ref="U3:U37" ca="1" si="0">RANK(X3,X3:X38)</f>
        <v>21</v>
      </c>
      <c r="V3" s="5" t="str">
        <f t="shared" ref="V3:V37" ca="1" si="1">OFFSET($P$1,1,0,COUNT($R:$R))</f>
        <v>Product02</v>
      </c>
      <c r="W3" s="5" t="str">
        <f t="shared" ref="W3:W37" ca="1" si="2">OFFSET($P$1,1,1,COUNT($R:$R))</f>
        <v>Lt</v>
      </c>
      <c r="X3" s="5">
        <f t="shared" ref="X3:X37" ca="1" si="3">OFFSET($P$1,1,2,COUNT($R:$R))</f>
        <v>613.16999999999996</v>
      </c>
      <c r="Y3" s="5">
        <f t="shared" ref="Y3:Y37" ca="1" si="4">OFFSET($P$1,1,3,COUNT($R:$R))</f>
        <v>10</v>
      </c>
      <c r="Z3" s="5"/>
      <c r="AA3" s="5" t="str">
        <f t="shared" ref="AA3:AA11" ca="1" si="5">IFERROR(INDEX(V3:V38,$AA$1),NA())</f>
        <v>Product02</v>
      </c>
      <c r="AB3" s="5" t="str">
        <f t="shared" ref="AB3:AB11" ca="1" si="6">IFERROR(INDEX(W3:W38,$AA$1),NA())</f>
        <v>Lt</v>
      </c>
      <c r="AC3" s="5">
        <f t="shared" ref="AC3:AC11" ca="1" si="7">IFERROR(INDEX(X3:X38,$AA$1),NA())</f>
        <v>613.16999999999996</v>
      </c>
      <c r="AD3" s="5"/>
      <c r="AE3" s="10" t="s">
        <v>31</v>
      </c>
      <c r="AF3" s="5">
        <v>8652.4084999999995</v>
      </c>
      <c r="AG3" s="5"/>
      <c r="AH3" s="5">
        <f t="shared" ref="AH3:AH5" ca="1" si="8">RANK(AJ3,AJ3:AJ6)</f>
        <v>3</v>
      </c>
      <c r="AI3" s="5" t="str">
        <f t="shared" ref="AI3:AI5" ca="1" si="9">OFFSET($AE$1,1,0,COUNT($AF:$AF))</f>
        <v>Category02</v>
      </c>
      <c r="AJ3" s="16">
        <f t="shared" ref="AJ3:AJ5" ca="1" si="10">OFFSET($AE$1,1,1,COUNT($AF:$AF))</f>
        <v>8652.4084999999995</v>
      </c>
      <c r="AL3" s="10" t="s">
        <v>111</v>
      </c>
      <c r="AM3" s="5">
        <v>11751.585499999999</v>
      </c>
      <c r="AO3" s="10" t="s">
        <v>111</v>
      </c>
      <c r="AP3" s="5">
        <v>12734.601499999999</v>
      </c>
    </row>
    <row r="4" spans="1:42" x14ac:dyDescent="0.35">
      <c r="A4" s="10">
        <v>2</v>
      </c>
      <c r="B4" s="11">
        <v>1573.675</v>
      </c>
      <c r="D4" t="s">
        <v>124</v>
      </c>
      <c r="E4" s="13">
        <f>GETPIVOTDATA("Sum of Total Selling Value",$D$1)</f>
        <v>40152.018499999998</v>
      </c>
      <c r="G4" s="10" t="s">
        <v>129</v>
      </c>
      <c r="H4" s="5">
        <v>1239.6969999999999</v>
      </c>
      <c r="I4" s="5">
        <v>1075</v>
      </c>
      <c r="K4" s="10" t="s">
        <v>122</v>
      </c>
      <c r="L4" s="15">
        <f>IF($L$1=TRUE,VLOOKUP(K4,G:I,2,0),NA())</f>
        <v>2734.4449999999997</v>
      </c>
      <c r="M4" s="15">
        <f>IF($M$1=TRUE,VLOOKUP(K4,G:I,2,0)-VLOOKUP(K4,G:I,3,0),NA())</f>
        <v>607.44499999999971</v>
      </c>
      <c r="N4" s="12">
        <f>IF($N$1=TRUE,M4/VLOOKUP(K4,G:I,2,0)," ")</f>
        <v>0.22214562735765384</v>
      </c>
      <c r="P4" t="s">
        <v>14</v>
      </c>
      <c r="Q4" t="s">
        <v>9</v>
      </c>
      <c r="R4" s="5">
        <v>2738.2080000000005</v>
      </c>
      <c r="S4" s="5">
        <v>19</v>
      </c>
      <c r="T4" s="5"/>
      <c r="U4" s="5">
        <f t="shared" ca="1" si="0"/>
        <v>3</v>
      </c>
      <c r="V4" s="5" t="str">
        <f t="shared" ca="1" si="1"/>
        <v>Product03</v>
      </c>
      <c r="W4" s="5" t="str">
        <f t="shared" ca="1" si="2"/>
        <v>Kg</v>
      </c>
      <c r="X4" s="5">
        <f t="shared" ca="1" si="3"/>
        <v>2738.2080000000005</v>
      </c>
      <c r="Y4" s="5">
        <f t="shared" ca="1" si="4"/>
        <v>19</v>
      </c>
      <c r="Z4" s="5"/>
      <c r="AA4" s="5" t="str">
        <f t="shared" ca="1" si="5"/>
        <v>Product03</v>
      </c>
      <c r="AB4" s="5" t="str">
        <f t="shared" ca="1" si="6"/>
        <v>Kg</v>
      </c>
      <c r="AC4" s="5">
        <f t="shared" ca="1" si="7"/>
        <v>2738.2080000000005</v>
      </c>
      <c r="AD4" s="5"/>
      <c r="AE4" s="10" t="s">
        <v>50</v>
      </c>
      <c r="AF4" s="5">
        <v>9549.7134999999998</v>
      </c>
      <c r="AG4" s="5"/>
      <c r="AH4" s="5">
        <f t="shared" ca="1" si="8"/>
        <v>2</v>
      </c>
      <c r="AI4" s="5" t="str">
        <f t="shared" ca="1" si="9"/>
        <v>Category03</v>
      </c>
      <c r="AJ4" s="16">
        <f t="shared" ca="1" si="10"/>
        <v>9549.7134999999998</v>
      </c>
      <c r="AL4" s="10" t="s">
        <v>112</v>
      </c>
      <c r="AM4" s="5">
        <v>15828.296</v>
      </c>
    </row>
    <row r="5" spans="1:42" x14ac:dyDescent="0.35">
      <c r="A5" s="10">
        <v>4</v>
      </c>
      <c r="B5" s="11">
        <v>138.0625</v>
      </c>
      <c r="D5" t="s">
        <v>125</v>
      </c>
      <c r="E5" s="13">
        <f>GETPIVOTDATA("Sum of Total Buying Value",$D$1)</f>
        <v>34221</v>
      </c>
      <c r="G5" s="10" t="s">
        <v>130</v>
      </c>
      <c r="H5" s="5">
        <v>4546.9879999999994</v>
      </c>
      <c r="I5" s="5">
        <v>3432</v>
      </c>
      <c r="K5" s="10" t="s">
        <v>129</v>
      </c>
      <c r="L5" s="15">
        <f t="shared" ref="L5:L14" si="11">IF($L$1=TRUE,VLOOKUP(K5,G:I,2,0),NA())</f>
        <v>1239.6969999999999</v>
      </c>
      <c r="M5" s="15">
        <f t="shared" ref="M5:M15" si="12">IF($M$1=TRUE,VLOOKUP(K5,G:I,2,0)-VLOOKUP(K5,G:I,3,0),NA())</f>
        <v>164.69699999999989</v>
      </c>
      <c r="N5" s="12">
        <f t="shared" ref="N5:N15" si="13">IF($N$1=TRUE,M5/VLOOKUP(K5,G:I,2,0)," ")</f>
        <v>0.13285262447194751</v>
      </c>
      <c r="P5" t="s">
        <v>16</v>
      </c>
      <c r="Q5" t="s">
        <v>17</v>
      </c>
      <c r="R5" s="5">
        <v>246.84100000000001</v>
      </c>
      <c r="S5" s="5">
        <v>18</v>
      </c>
      <c r="T5" s="5"/>
      <c r="U5" s="5">
        <f t="shared" ca="1" si="0"/>
        <v>27</v>
      </c>
      <c r="V5" s="5" t="str">
        <f t="shared" ca="1" si="1"/>
        <v>Product04</v>
      </c>
      <c r="W5" s="5" t="str">
        <f t="shared" ca="1" si="2"/>
        <v>Dozon</v>
      </c>
      <c r="X5" s="5">
        <f t="shared" ca="1" si="3"/>
        <v>246.84100000000001</v>
      </c>
      <c r="Y5" s="5">
        <f t="shared" ca="1" si="4"/>
        <v>18</v>
      </c>
      <c r="Z5" s="5"/>
      <c r="AA5" s="5" t="str">
        <f t="shared" ca="1" si="5"/>
        <v>Product04</v>
      </c>
      <c r="AB5" s="5" t="str">
        <f t="shared" ca="1" si="6"/>
        <v>Dozon</v>
      </c>
      <c r="AC5" s="5">
        <f t="shared" ca="1" si="7"/>
        <v>246.84100000000001</v>
      </c>
      <c r="AD5" s="5"/>
      <c r="AE5" s="10" t="s">
        <v>69</v>
      </c>
      <c r="AF5" s="5">
        <v>12088.738000000001</v>
      </c>
      <c r="AG5" s="5"/>
      <c r="AH5" s="5">
        <f t="shared" ca="1" si="8"/>
        <v>1</v>
      </c>
      <c r="AI5" s="5" t="str">
        <f t="shared" ca="1" si="9"/>
        <v>Category04</v>
      </c>
      <c r="AJ5" s="16">
        <f t="shared" ca="1" si="10"/>
        <v>12088.738000000001</v>
      </c>
    </row>
    <row r="6" spans="1:42" x14ac:dyDescent="0.35">
      <c r="A6" s="10">
        <v>5</v>
      </c>
      <c r="B6" s="11">
        <v>133.68</v>
      </c>
      <c r="D6" t="s">
        <v>126</v>
      </c>
      <c r="E6" s="12">
        <f>E5/GETPIVOTDATA("Sum of Total Buying Value",$D$1)</f>
        <v>1</v>
      </c>
      <c r="G6" s="10" t="s">
        <v>131</v>
      </c>
      <c r="H6" s="5">
        <v>2864.5179999999996</v>
      </c>
      <c r="I6" s="5">
        <v>2490</v>
      </c>
      <c r="K6" s="10" t="s">
        <v>130</v>
      </c>
      <c r="L6" s="15">
        <f t="shared" si="11"/>
        <v>4546.9879999999994</v>
      </c>
      <c r="M6" s="15">
        <f t="shared" si="12"/>
        <v>1114.9879999999994</v>
      </c>
      <c r="N6" s="12">
        <f t="shared" si="13"/>
        <v>0.24521463439094177</v>
      </c>
      <c r="P6" t="s">
        <v>19</v>
      </c>
      <c r="Q6" t="s">
        <v>12</v>
      </c>
      <c r="R6" s="5">
        <v>1833.442</v>
      </c>
      <c r="S6" s="5">
        <v>25</v>
      </c>
      <c r="T6" s="5"/>
      <c r="U6" s="5">
        <f t="shared" ca="1" si="0"/>
        <v>6</v>
      </c>
      <c r="V6" s="5" t="str">
        <f t="shared" ca="1" si="1"/>
        <v>Product05</v>
      </c>
      <c r="W6" s="5" t="str">
        <f t="shared" ca="1" si="2"/>
        <v>Lt</v>
      </c>
      <c r="X6" s="5">
        <f t="shared" ca="1" si="3"/>
        <v>1833.442</v>
      </c>
      <c r="Y6" s="5">
        <f t="shared" ca="1" si="4"/>
        <v>25</v>
      </c>
      <c r="Z6" s="5"/>
      <c r="AA6" s="5" t="str">
        <f t="shared" ca="1" si="5"/>
        <v>Product05</v>
      </c>
      <c r="AB6" s="5" t="str">
        <f t="shared" ca="1" si="6"/>
        <v>Lt</v>
      </c>
      <c r="AC6" s="5">
        <f t="shared" ca="1" si="7"/>
        <v>1833.442</v>
      </c>
      <c r="AD6" s="5"/>
      <c r="AI6" s="5"/>
    </row>
    <row r="7" spans="1:42" x14ac:dyDescent="0.35">
      <c r="A7" s="10">
        <v>6</v>
      </c>
      <c r="B7" s="11">
        <v>509.96000000000004</v>
      </c>
      <c r="G7" s="10" t="s">
        <v>132</v>
      </c>
      <c r="H7" s="5">
        <v>1792.5590000000002</v>
      </c>
      <c r="I7" s="5">
        <v>1378</v>
      </c>
      <c r="K7" s="10" t="s">
        <v>131</v>
      </c>
      <c r="L7" s="15">
        <f t="shared" si="11"/>
        <v>2864.5179999999996</v>
      </c>
      <c r="M7" s="15">
        <f t="shared" si="12"/>
        <v>374.51799999999957</v>
      </c>
      <c r="N7" s="12">
        <f t="shared" si="13"/>
        <v>0.13074381100066385</v>
      </c>
      <c r="P7" t="s">
        <v>26</v>
      </c>
      <c r="Q7" t="s">
        <v>24</v>
      </c>
      <c r="R7" s="5">
        <v>1702.3440000000001</v>
      </c>
      <c r="S7" s="5">
        <v>17</v>
      </c>
      <c r="T7" s="5"/>
      <c r="U7" s="5">
        <f t="shared" ca="1" si="0"/>
        <v>6</v>
      </c>
      <c r="V7" s="5" t="str">
        <f t="shared" ca="1" si="1"/>
        <v>Product08</v>
      </c>
      <c r="W7" s="5" t="str">
        <f t="shared" ca="1" si="2"/>
        <v>No.</v>
      </c>
      <c r="X7" s="5">
        <f t="shared" ca="1" si="3"/>
        <v>1702.3440000000001</v>
      </c>
      <c r="Y7" s="5">
        <f t="shared" ca="1" si="4"/>
        <v>17</v>
      </c>
      <c r="Z7" s="5"/>
      <c r="AA7" s="5" t="str">
        <f t="shared" ca="1" si="5"/>
        <v>Product08</v>
      </c>
      <c r="AB7" s="5" t="str">
        <f t="shared" ca="1" si="6"/>
        <v>No.</v>
      </c>
      <c r="AC7" s="5">
        <f t="shared" ca="1" si="7"/>
        <v>1702.3440000000001</v>
      </c>
      <c r="AD7" s="5"/>
    </row>
    <row r="8" spans="1:42" x14ac:dyDescent="0.35">
      <c r="A8" s="10">
        <v>7</v>
      </c>
      <c r="B8" s="11">
        <v>1184.51</v>
      </c>
      <c r="G8" s="10" t="s">
        <v>133</v>
      </c>
      <c r="H8" s="5">
        <v>5259.9030000000002</v>
      </c>
      <c r="I8" s="5">
        <v>4328</v>
      </c>
      <c r="K8" s="10" t="s">
        <v>132</v>
      </c>
      <c r="L8" s="15">
        <f t="shared" si="11"/>
        <v>1792.5590000000002</v>
      </c>
      <c r="M8" s="15">
        <f t="shared" si="12"/>
        <v>414.5590000000002</v>
      </c>
      <c r="N8" s="12">
        <f t="shared" si="13"/>
        <v>0.23126658592548427</v>
      </c>
      <c r="P8" t="s">
        <v>28</v>
      </c>
      <c r="Q8" t="s">
        <v>9</v>
      </c>
      <c r="R8" s="5">
        <v>608.71249999999998</v>
      </c>
      <c r="S8" s="5">
        <v>11</v>
      </c>
      <c r="T8" s="5"/>
      <c r="U8" s="5">
        <f t="shared" ca="1" si="0"/>
        <v>18</v>
      </c>
      <c r="V8" s="5" t="str">
        <f t="shared" ca="1" si="1"/>
        <v>Product09</v>
      </c>
      <c r="W8" s="5" t="str">
        <f t="shared" ca="1" si="2"/>
        <v>Kg</v>
      </c>
      <c r="X8" s="5">
        <f t="shared" ca="1" si="3"/>
        <v>608.71249999999998</v>
      </c>
      <c r="Y8" s="5">
        <f t="shared" ca="1" si="4"/>
        <v>11</v>
      </c>
      <c r="Z8" s="5"/>
      <c r="AA8" s="5" t="str">
        <f t="shared" ca="1" si="5"/>
        <v>Product09</v>
      </c>
      <c r="AB8" s="5" t="str">
        <f t="shared" ca="1" si="6"/>
        <v>Kg</v>
      </c>
      <c r="AC8" s="5">
        <f t="shared" ca="1" si="7"/>
        <v>608.71249999999998</v>
      </c>
      <c r="AD8" s="5"/>
    </row>
    <row r="9" spans="1:42" x14ac:dyDescent="0.35">
      <c r="A9" s="10">
        <v>9</v>
      </c>
      <c r="B9" s="11">
        <v>1497.3029999999999</v>
      </c>
      <c r="G9" s="10" t="s">
        <v>134</v>
      </c>
      <c r="H9" s="5">
        <v>1292.5364999999999</v>
      </c>
      <c r="I9" s="5">
        <v>1050</v>
      </c>
      <c r="K9" s="10" t="s">
        <v>133</v>
      </c>
      <c r="L9" s="15">
        <f t="shared" si="11"/>
        <v>5259.9030000000002</v>
      </c>
      <c r="M9" s="15">
        <f t="shared" si="12"/>
        <v>931.90300000000025</v>
      </c>
      <c r="N9" s="12">
        <f t="shared" si="13"/>
        <v>0.1771711379468405</v>
      </c>
      <c r="P9" t="s">
        <v>33</v>
      </c>
      <c r="Q9" t="s">
        <v>12</v>
      </c>
      <c r="R9" s="5">
        <v>436.28000000000003</v>
      </c>
      <c r="S9" s="5">
        <v>13</v>
      </c>
      <c r="T9" s="5"/>
      <c r="U9" s="5">
        <f t="shared" ca="1" si="0"/>
        <v>20</v>
      </c>
      <c r="V9" s="5" t="str">
        <f t="shared" ca="1" si="1"/>
        <v>Product11</v>
      </c>
      <c r="W9" s="5" t="str">
        <f t="shared" ca="1" si="2"/>
        <v>Lt</v>
      </c>
      <c r="X9" s="5">
        <f t="shared" ca="1" si="3"/>
        <v>436.28000000000003</v>
      </c>
      <c r="Y9" s="5">
        <f t="shared" ca="1" si="4"/>
        <v>13</v>
      </c>
      <c r="Z9" s="5"/>
      <c r="AA9" s="5" t="str">
        <f t="shared" ca="1" si="5"/>
        <v>Product11</v>
      </c>
      <c r="AB9" s="5" t="str">
        <f t="shared" ca="1" si="6"/>
        <v>Lt</v>
      </c>
      <c r="AC9" s="5">
        <f t="shared" ca="1" si="7"/>
        <v>436.28000000000003</v>
      </c>
      <c r="AD9" s="5"/>
    </row>
    <row r="10" spans="1:42" x14ac:dyDescent="0.35">
      <c r="A10" s="10">
        <v>10</v>
      </c>
      <c r="B10" s="11">
        <v>2905.4100000000003</v>
      </c>
      <c r="G10" s="10" t="s">
        <v>135</v>
      </c>
      <c r="H10" s="5">
        <v>2671.4805000000001</v>
      </c>
      <c r="I10" s="5">
        <v>2494</v>
      </c>
      <c r="K10" s="10" t="s">
        <v>134</v>
      </c>
      <c r="L10" s="15">
        <f t="shared" si="11"/>
        <v>1292.5364999999999</v>
      </c>
      <c r="M10" s="15">
        <f t="shared" si="12"/>
        <v>242.53649999999993</v>
      </c>
      <c r="N10" s="12">
        <f t="shared" si="13"/>
        <v>0.18764383056107115</v>
      </c>
      <c r="P10" t="s">
        <v>37</v>
      </c>
      <c r="Q10" t="s">
        <v>24</v>
      </c>
      <c r="R10" s="5">
        <v>1343.1599999999999</v>
      </c>
      <c r="S10" s="5">
        <v>14</v>
      </c>
      <c r="T10" s="5"/>
      <c r="U10" s="5">
        <f t="shared" ca="1" si="0"/>
        <v>11</v>
      </c>
      <c r="V10" s="5" t="str">
        <f t="shared" ca="1" si="1"/>
        <v>Product13</v>
      </c>
      <c r="W10" s="5" t="str">
        <f t="shared" ca="1" si="2"/>
        <v>No.</v>
      </c>
      <c r="X10" s="5">
        <f t="shared" ca="1" si="3"/>
        <v>1343.1599999999999</v>
      </c>
      <c r="Y10" s="5">
        <f t="shared" ca="1" si="4"/>
        <v>14</v>
      </c>
      <c r="Z10" s="5"/>
      <c r="AA10" s="5" t="str">
        <f t="shared" ca="1" si="5"/>
        <v>Product13</v>
      </c>
      <c r="AB10" s="5" t="str">
        <f t="shared" ca="1" si="6"/>
        <v>No.</v>
      </c>
      <c r="AC10" s="5">
        <f t="shared" ca="1" si="7"/>
        <v>1343.1599999999999</v>
      </c>
      <c r="AD10" s="5"/>
    </row>
    <row r="11" spans="1:42" x14ac:dyDescent="0.35">
      <c r="A11" s="10">
        <v>11</v>
      </c>
      <c r="B11" s="11">
        <v>1502.08</v>
      </c>
      <c r="G11" s="10" t="s">
        <v>136</v>
      </c>
      <c r="H11" s="5">
        <v>3864.8150000000001</v>
      </c>
      <c r="I11" s="5">
        <v>3489</v>
      </c>
      <c r="K11" s="10" t="s">
        <v>135</v>
      </c>
      <c r="L11" s="15">
        <f t="shared" si="11"/>
        <v>2671.4805000000001</v>
      </c>
      <c r="M11" s="15">
        <f t="shared" si="12"/>
        <v>177.48050000000012</v>
      </c>
      <c r="N11" s="12">
        <f t="shared" si="13"/>
        <v>6.6435259400171601E-2</v>
      </c>
      <c r="P11" t="s">
        <v>39</v>
      </c>
      <c r="Q11" t="s">
        <v>17</v>
      </c>
      <c r="R11" s="5">
        <v>1397.7</v>
      </c>
      <c r="S11" s="5">
        <v>9</v>
      </c>
      <c r="T11" s="5"/>
      <c r="U11" s="5">
        <f t="shared" ca="1" si="0"/>
        <v>10</v>
      </c>
      <c r="V11" s="5" t="str">
        <f t="shared" ca="1" si="1"/>
        <v>Product14</v>
      </c>
      <c r="W11" s="5" t="str">
        <f t="shared" ca="1" si="2"/>
        <v>Dozon</v>
      </c>
      <c r="X11" s="5">
        <f t="shared" ca="1" si="3"/>
        <v>1397.7</v>
      </c>
      <c r="Y11" s="5">
        <f t="shared" ca="1" si="4"/>
        <v>9</v>
      </c>
      <c r="Z11" s="5"/>
      <c r="AA11" s="5" t="str">
        <f t="shared" ca="1" si="5"/>
        <v>Product14</v>
      </c>
      <c r="AB11" s="5" t="str">
        <f t="shared" ca="1" si="6"/>
        <v>Dozon</v>
      </c>
      <c r="AC11" s="5">
        <f t="shared" ca="1" si="7"/>
        <v>1397.7</v>
      </c>
      <c r="AD11" s="5"/>
    </row>
    <row r="12" spans="1:42" x14ac:dyDescent="0.35">
      <c r="A12" s="10">
        <v>12</v>
      </c>
      <c r="B12" s="11">
        <v>3379.92</v>
      </c>
      <c r="G12" s="10" t="s">
        <v>137</v>
      </c>
      <c r="H12" s="5">
        <v>3023.5355000000004</v>
      </c>
      <c r="I12" s="5">
        <v>2906</v>
      </c>
      <c r="K12" s="10" t="s">
        <v>136</v>
      </c>
      <c r="L12" s="15">
        <f t="shared" si="11"/>
        <v>3864.8150000000001</v>
      </c>
      <c r="M12" s="15">
        <f t="shared" si="12"/>
        <v>375.81500000000005</v>
      </c>
      <c r="N12" s="12">
        <f t="shared" si="13"/>
        <v>9.7240100755146122E-2</v>
      </c>
      <c r="P12" t="s">
        <v>41</v>
      </c>
      <c r="Q12" t="s">
        <v>17</v>
      </c>
      <c r="R12" s="5">
        <v>118.10399999999998</v>
      </c>
      <c r="S12" s="5">
        <v>4</v>
      </c>
      <c r="T12" s="5"/>
      <c r="U12" s="5">
        <f t="shared" ca="1" si="0"/>
        <v>23</v>
      </c>
      <c r="V12" s="5" t="str">
        <f t="shared" ca="1" si="1"/>
        <v>Product15</v>
      </c>
      <c r="W12" s="5" t="str">
        <f t="shared" ca="1" si="2"/>
        <v>Dozon</v>
      </c>
      <c r="X12" s="5">
        <f t="shared" ca="1" si="3"/>
        <v>118.10399999999998</v>
      </c>
      <c r="Y12" s="5">
        <f t="shared" ca="1" si="4"/>
        <v>4</v>
      </c>
      <c r="Z12" s="5"/>
      <c r="AA12" s="5"/>
      <c r="AB12" s="5"/>
      <c r="AC12" s="5"/>
      <c r="AD12" s="5"/>
    </row>
    <row r="13" spans="1:42" x14ac:dyDescent="0.35">
      <c r="A13" s="10">
        <v>14</v>
      </c>
      <c r="B13" s="11">
        <v>451.53699999999998</v>
      </c>
      <c r="G13" s="10" t="s">
        <v>138</v>
      </c>
      <c r="H13" s="5">
        <v>5137.8130000000001</v>
      </c>
      <c r="I13" s="5">
        <v>4313</v>
      </c>
      <c r="K13" s="10" t="s">
        <v>137</v>
      </c>
      <c r="L13" s="15">
        <f t="shared" si="11"/>
        <v>3023.5355000000004</v>
      </c>
      <c r="M13" s="15">
        <f t="shared" si="12"/>
        <v>117.53550000000041</v>
      </c>
      <c r="N13" s="12">
        <f t="shared" si="13"/>
        <v>3.8873530672949068E-2</v>
      </c>
      <c r="P13" t="s">
        <v>43</v>
      </c>
      <c r="Q13" t="s">
        <v>24</v>
      </c>
      <c r="R13" s="5">
        <v>1038.3975</v>
      </c>
      <c r="S13" s="5">
        <v>9</v>
      </c>
      <c r="T13" s="5"/>
      <c r="U13" s="5">
        <f t="shared" ca="1" si="0"/>
        <v>11</v>
      </c>
      <c r="V13" s="5" t="str">
        <f t="shared" ca="1" si="1"/>
        <v>Product16</v>
      </c>
      <c r="W13" s="5" t="str">
        <f t="shared" ca="1" si="2"/>
        <v>No.</v>
      </c>
      <c r="X13" s="5">
        <f t="shared" ca="1" si="3"/>
        <v>1038.3975</v>
      </c>
      <c r="Y13" s="5">
        <f t="shared" ca="1" si="4"/>
        <v>9</v>
      </c>
      <c r="Z13" s="5"/>
      <c r="AA13" s="5"/>
      <c r="AB13" s="5"/>
      <c r="AC13" s="5"/>
      <c r="AD13" s="5"/>
    </row>
    <row r="14" spans="1:42" x14ac:dyDescent="0.35">
      <c r="A14" s="10">
        <v>15</v>
      </c>
      <c r="B14" s="11">
        <v>1784.19</v>
      </c>
      <c r="K14" s="10" t="s">
        <v>138</v>
      </c>
      <c r="L14" s="15">
        <f t="shared" si="11"/>
        <v>5137.8130000000001</v>
      </c>
      <c r="M14" s="15">
        <f t="shared" si="12"/>
        <v>824.8130000000001</v>
      </c>
      <c r="N14" s="12">
        <f t="shared" si="13"/>
        <v>0.16053776188428814</v>
      </c>
      <c r="P14" t="s">
        <v>45</v>
      </c>
      <c r="Q14" t="s">
        <v>9</v>
      </c>
      <c r="R14" s="5">
        <v>61.5</v>
      </c>
      <c r="S14" s="5">
        <v>3</v>
      </c>
      <c r="T14" s="5"/>
      <c r="U14" s="5">
        <f t="shared" ca="1" si="0"/>
        <v>24</v>
      </c>
      <c r="V14" s="5" t="str">
        <f t="shared" ca="1" si="1"/>
        <v>Product17</v>
      </c>
      <c r="W14" s="5" t="str">
        <f t="shared" ca="1" si="2"/>
        <v>Kg</v>
      </c>
      <c r="X14" s="5">
        <f t="shared" ca="1" si="3"/>
        <v>61.5</v>
      </c>
      <c r="Y14" s="5">
        <f t="shared" ca="1" si="4"/>
        <v>3</v>
      </c>
      <c r="Z14" s="5"/>
      <c r="AA14" s="5"/>
      <c r="AB14" s="5"/>
      <c r="AC14" s="5"/>
      <c r="AD14" s="5"/>
    </row>
    <row r="15" spans="1:42" x14ac:dyDescent="0.35">
      <c r="A15" s="10">
        <v>16</v>
      </c>
      <c r="B15" s="11">
        <v>1111.827</v>
      </c>
      <c r="K15" s="10" t="s">
        <v>121</v>
      </c>
      <c r="L15" s="15">
        <f>IF($L$1=TRUE,VLOOKUP(K15,G:I,2,0),NA())</f>
        <v>5723.7280000000001</v>
      </c>
      <c r="M15" s="15">
        <f t="shared" si="12"/>
        <v>584.72800000000007</v>
      </c>
      <c r="N15" s="12">
        <f t="shared" si="13"/>
        <v>0.10215859314069432</v>
      </c>
      <c r="P15" t="s">
        <v>47</v>
      </c>
      <c r="Q15" t="s">
        <v>12</v>
      </c>
      <c r="R15" s="5">
        <v>806.14699999999993</v>
      </c>
      <c r="S15" s="5">
        <v>25</v>
      </c>
      <c r="T15" s="5"/>
      <c r="U15" s="5">
        <f t="shared" ca="1" si="0"/>
        <v>12</v>
      </c>
      <c r="V15" s="5" t="str">
        <f t="shared" ca="1" si="1"/>
        <v>Product18</v>
      </c>
      <c r="W15" s="5" t="str">
        <f t="shared" ca="1" si="2"/>
        <v>Lt</v>
      </c>
      <c r="X15" s="5">
        <f t="shared" ca="1" si="3"/>
        <v>806.14699999999993</v>
      </c>
      <c r="Y15" s="5">
        <f t="shared" ca="1" si="4"/>
        <v>25</v>
      </c>
      <c r="Z15" s="5"/>
      <c r="AA15" s="5"/>
      <c r="AB15" s="5"/>
      <c r="AC15" s="5"/>
      <c r="AD15" s="5"/>
    </row>
    <row r="16" spans="1:42" x14ac:dyDescent="0.35">
      <c r="A16" s="10">
        <v>17</v>
      </c>
      <c r="B16" s="11">
        <v>393.15300000000002</v>
      </c>
      <c r="P16" t="s">
        <v>49</v>
      </c>
      <c r="Q16" t="s">
        <v>9</v>
      </c>
      <c r="R16" s="5">
        <v>397.86799999999999</v>
      </c>
      <c r="S16" s="5">
        <v>4</v>
      </c>
      <c r="T16" s="5"/>
      <c r="U16" s="5">
        <f t="shared" ca="1" si="0"/>
        <v>16</v>
      </c>
      <c r="V16" s="5" t="str">
        <f t="shared" ca="1" si="1"/>
        <v>Product19</v>
      </c>
      <c r="W16" s="5" t="str">
        <f t="shared" ca="1" si="2"/>
        <v>Kg</v>
      </c>
      <c r="X16" s="5">
        <f t="shared" ca="1" si="3"/>
        <v>397.86799999999999</v>
      </c>
      <c r="Y16" s="5">
        <f t="shared" ca="1" si="4"/>
        <v>4</v>
      </c>
      <c r="Z16" s="5"/>
      <c r="AA16" s="5"/>
      <c r="AB16" s="5"/>
      <c r="AC16" s="5"/>
      <c r="AD16" s="5"/>
    </row>
    <row r="17" spans="1:30" x14ac:dyDescent="0.35">
      <c r="A17" s="10">
        <v>18</v>
      </c>
      <c r="B17" s="11">
        <v>1639.6200000000001</v>
      </c>
      <c r="P17" t="s">
        <v>56</v>
      </c>
      <c r="Q17" t="s">
        <v>9</v>
      </c>
      <c r="R17" s="5">
        <v>1543.62</v>
      </c>
      <c r="S17" s="5">
        <v>26</v>
      </c>
      <c r="T17" s="5"/>
      <c r="U17" s="5">
        <f t="shared" ca="1" si="0"/>
        <v>7</v>
      </c>
      <c r="V17" s="5" t="str">
        <f t="shared" ca="1" si="1"/>
        <v>Product22</v>
      </c>
      <c r="W17" s="5" t="str">
        <f t="shared" ca="1" si="2"/>
        <v>Kg</v>
      </c>
      <c r="X17" s="5">
        <f t="shared" ca="1" si="3"/>
        <v>1543.62</v>
      </c>
      <c r="Y17" s="5">
        <f t="shared" ca="1" si="4"/>
        <v>26</v>
      </c>
      <c r="Z17" s="5"/>
      <c r="AA17" s="5"/>
      <c r="AB17" s="5"/>
      <c r="AC17" s="5"/>
      <c r="AD17" s="5"/>
    </row>
    <row r="18" spans="1:30" x14ac:dyDescent="0.35">
      <c r="A18" s="10">
        <v>20</v>
      </c>
      <c r="B18" s="11">
        <v>1196.2939999999999</v>
      </c>
      <c r="P18" t="s">
        <v>58</v>
      </c>
      <c r="Q18" t="s">
        <v>12</v>
      </c>
      <c r="R18" s="5">
        <v>331.65300000000002</v>
      </c>
      <c r="S18" s="5">
        <v>7</v>
      </c>
      <c r="T18" s="5"/>
      <c r="U18" s="5">
        <f t="shared" ca="1" si="0"/>
        <v>15</v>
      </c>
      <c r="V18" s="5" t="str">
        <f t="shared" ca="1" si="1"/>
        <v>Product23</v>
      </c>
      <c r="W18" s="5" t="str">
        <f t="shared" ca="1" si="2"/>
        <v>Lt</v>
      </c>
      <c r="X18" s="5">
        <f t="shared" ca="1" si="3"/>
        <v>331.65300000000002</v>
      </c>
      <c r="Y18" s="5">
        <f t="shared" ca="1" si="4"/>
        <v>7</v>
      </c>
      <c r="Z18" s="5"/>
      <c r="AA18" s="5"/>
      <c r="AB18" s="5"/>
      <c r="AC18" s="5"/>
      <c r="AD18" s="5"/>
    </row>
    <row r="19" spans="1:30" x14ac:dyDescent="0.35">
      <c r="A19" s="10">
        <v>21</v>
      </c>
      <c r="B19" s="11">
        <v>1589.8909999999998</v>
      </c>
      <c r="P19" t="s">
        <v>60</v>
      </c>
      <c r="Q19" t="s">
        <v>12</v>
      </c>
      <c r="R19" s="5">
        <v>3511.78</v>
      </c>
      <c r="S19" s="5">
        <v>23</v>
      </c>
      <c r="T19" s="5"/>
      <c r="U19" s="5">
        <f t="shared" ca="1" si="0"/>
        <v>2</v>
      </c>
      <c r="V19" s="5" t="str">
        <f t="shared" ca="1" si="1"/>
        <v>Product24</v>
      </c>
      <c r="W19" s="5" t="str">
        <f t="shared" ca="1" si="2"/>
        <v>Lt</v>
      </c>
      <c r="X19" s="5">
        <f t="shared" ca="1" si="3"/>
        <v>3511.78</v>
      </c>
      <c r="Y19" s="5">
        <f t="shared" ca="1" si="4"/>
        <v>23</v>
      </c>
      <c r="Z19" s="5"/>
      <c r="AA19" s="5"/>
      <c r="AB19" s="5"/>
      <c r="AC19" s="5"/>
      <c r="AD19" s="5"/>
    </row>
    <row r="20" spans="1:30" x14ac:dyDescent="0.35">
      <c r="A20" s="10">
        <v>24</v>
      </c>
      <c r="B20" s="11">
        <v>2142.7020000000002</v>
      </c>
      <c r="P20" t="s">
        <v>62</v>
      </c>
      <c r="Q20" t="s">
        <v>12</v>
      </c>
      <c r="R20" s="5">
        <v>101.98249999999999</v>
      </c>
      <c r="S20" s="5">
        <v>5</v>
      </c>
      <c r="T20" s="5"/>
      <c r="U20" s="5">
        <f t="shared" ca="1" si="0"/>
        <v>17</v>
      </c>
      <c r="V20" s="5" t="str">
        <f t="shared" ca="1" si="1"/>
        <v>Product25</v>
      </c>
      <c r="W20" s="5" t="str">
        <f t="shared" ca="1" si="2"/>
        <v>Lt</v>
      </c>
      <c r="X20" s="5">
        <f t="shared" ca="1" si="3"/>
        <v>101.98249999999999</v>
      </c>
      <c r="Y20" s="5">
        <f t="shared" ca="1" si="4"/>
        <v>5</v>
      </c>
      <c r="Z20" s="5"/>
      <c r="AA20" s="5"/>
      <c r="AB20" s="5"/>
    </row>
    <row r="21" spans="1:30" x14ac:dyDescent="0.35">
      <c r="A21" s="10">
        <v>26</v>
      </c>
      <c r="B21" s="11">
        <v>2812.6400000000003</v>
      </c>
      <c r="P21" t="s">
        <v>64</v>
      </c>
      <c r="Q21" t="s">
        <v>9</v>
      </c>
      <c r="R21" s="5">
        <v>2499.1459999999997</v>
      </c>
      <c r="S21" s="5">
        <v>26</v>
      </c>
      <c r="T21" s="5"/>
      <c r="U21" s="5">
        <f t="shared" ca="1" si="0"/>
        <v>2</v>
      </c>
      <c r="V21" s="5" t="str">
        <f t="shared" ca="1" si="1"/>
        <v>Product26</v>
      </c>
      <c r="W21" s="5" t="str">
        <f t="shared" ca="1" si="2"/>
        <v>Kg</v>
      </c>
      <c r="X21" s="5">
        <f t="shared" ca="1" si="3"/>
        <v>2499.1459999999997</v>
      </c>
      <c r="Y21" s="5">
        <f t="shared" ca="1" si="4"/>
        <v>26</v>
      </c>
      <c r="Z21" s="5"/>
      <c r="AA21" s="5"/>
      <c r="AB21" s="5"/>
    </row>
    <row r="22" spans="1:30" x14ac:dyDescent="0.35">
      <c r="A22" s="10">
        <v>27</v>
      </c>
      <c r="B22" s="11">
        <v>3100.78</v>
      </c>
      <c r="P22" t="s">
        <v>66</v>
      </c>
      <c r="Q22" t="s">
        <v>9</v>
      </c>
      <c r="R22" s="5">
        <v>1163.6640000000002</v>
      </c>
      <c r="S22" s="5">
        <v>15</v>
      </c>
      <c r="T22" s="5"/>
      <c r="U22" s="5">
        <f t="shared" ca="1" si="0"/>
        <v>7</v>
      </c>
      <c r="V22" s="5" t="str">
        <f t="shared" ca="1" si="1"/>
        <v>Product27</v>
      </c>
      <c r="W22" s="5" t="str">
        <f t="shared" ca="1" si="2"/>
        <v>Kg</v>
      </c>
      <c r="X22" s="5">
        <f t="shared" ca="1" si="3"/>
        <v>1163.6640000000002</v>
      </c>
      <c r="Y22" s="5">
        <f t="shared" ca="1" si="4"/>
        <v>15</v>
      </c>
      <c r="Z22" s="5"/>
      <c r="AA22" s="5"/>
      <c r="AB22" s="5"/>
    </row>
    <row r="23" spans="1:30" x14ac:dyDescent="0.35">
      <c r="A23" s="10">
        <v>28</v>
      </c>
      <c r="B23" s="11">
        <v>555.19299999999998</v>
      </c>
      <c r="P23" t="s">
        <v>68</v>
      </c>
      <c r="Q23" t="s">
        <v>24</v>
      </c>
      <c r="R23" s="5">
        <v>95.58</v>
      </c>
      <c r="S23" s="5">
        <v>1</v>
      </c>
      <c r="T23" s="5"/>
      <c r="U23" s="5">
        <f t="shared" ca="1" si="0"/>
        <v>15</v>
      </c>
      <c r="V23" s="5" t="str">
        <f t="shared" ca="1" si="1"/>
        <v>Product28</v>
      </c>
      <c r="W23" s="5" t="str">
        <f t="shared" ca="1" si="2"/>
        <v>No.</v>
      </c>
      <c r="X23" s="5">
        <f t="shared" ca="1" si="3"/>
        <v>95.58</v>
      </c>
      <c r="Y23" s="5">
        <f t="shared" ca="1" si="4"/>
        <v>1</v>
      </c>
      <c r="Z23" s="5"/>
      <c r="AA23" s="5"/>
      <c r="AB23" s="5"/>
    </row>
    <row r="24" spans="1:30" x14ac:dyDescent="0.35">
      <c r="A24" s="10">
        <v>29</v>
      </c>
      <c r="B24" s="11">
        <v>650.25</v>
      </c>
      <c r="P24" t="s">
        <v>71</v>
      </c>
      <c r="Q24" t="s">
        <v>17</v>
      </c>
      <c r="R24" s="5">
        <v>1455.6120000000001</v>
      </c>
      <c r="S24" s="5">
        <v>11</v>
      </c>
      <c r="T24" s="5"/>
      <c r="U24" s="5">
        <f t="shared" ca="1" si="0"/>
        <v>6</v>
      </c>
      <c r="V24" s="5" t="str">
        <f t="shared" ca="1" si="1"/>
        <v>Product29</v>
      </c>
      <c r="W24" s="5" t="str">
        <f t="shared" ca="1" si="2"/>
        <v>Dozon</v>
      </c>
      <c r="X24" s="5">
        <f t="shared" ca="1" si="3"/>
        <v>1455.6120000000001</v>
      </c>
      <c r="Y24" s="5">
        <f t="shared" ca="1" si="4"/>
        <v>11</v>
      </c>
      <c r="Z24" s="5"/>
      <c r="AA24" s="5"/>
      <c r="AB24" s="5"/>
    </row>
    <row r="25" spans="1:30" x14ac:dyDescent="0.35">
      <c r="A25" s="10">
        <v>30</v>
      </c>
      <c r="B25" s="11">
        <v>980.505</v>
      </c>
      <c r="P25" t="s">
        <v>73</v>
      </c>
      <c r="Q25" t="s">
        <v>17</v>
      </c>
      <c r="R25" s="5">
        <v>168.66</v>
      </c>
      <c r="S25" s="5">
        <v>4</v>
      </c>
      <c r="T25" s="5"/>
      <c r="U25" s="5">
        <f t="shared" ca="1" si="0"/>
        <v>12</v>
      </c>
      <c r="V25" s="5" t="str">
        <f t="shared" ca="1" si="1"/>
        <v>Product30</v>
      </c>
      <c r="W25" s="5" t="str">
        <f t="shared" ca="1" si="2"/>
        <v>Dozon</v>
      </c>
      <c r="X25" s="5">
        <f t="shared" ca="1" si="3"/>
        <v>168.66</v>
      </c>
      <c r="Y25" s="5">
        <f t="shared" ca="1" si="4"/>
        <v>4</v>
      </c>
      <c r="Z25" s="5"/>
      <c r="AA25" s="5"/>
      <c r="AB25" s="5"/>
    </row>
    <row r="26" spans="1:30" x14ac:dyDescent="0.35">
      <c r="A26" s="10">
        <v>8</v>
      </c>
      <c r="B26" s="11">
        <v>518.38799999999992</v>
      </c>
      <c r="P26" t="s">
        <v>75</v>
      </c>
      <c r="Q26" t="s">
        <v>12</v>
      </c>
      <c r="R26" s="5">
        <v>1484.8919999999998</v>
      </c>
      <c r="S26" s="5">
        <v>9</v>
      </c>
      <c r="T26" s="5"/>
      <c r="U26" s="5">
        <f t="shared" ca="1" si="0"/>
        <v>5</v>
      </c>
      <c r="V26" s="5" t="str">
        <f t="shared" ca="1" si="1"/>
        <v>Product31</v>
      </c>
      <c r="W26" s="5" t="str">
        <f t="shared" ca="1" si="2"/>
        <v>Lt</v>
      </c>
      <c r="X26" s="5">
        <f t="shared" ca="1" si="3"/>
        <v>1484.8919999999998</v>
      </c>
      <c r="Y26" s="5">
        <f t="shared" ca="1" si="4"/>
        <v>9</v>
      </c>
      <c r="Z26" s="5"/>
      <c r="AA26" s="5"/>
      <c r="AB26" s="5"/>
    </row>
    <row r="27" spans="1:30" x14ac:dyDescent="0.35">
      <c r="A27" s="10">
        <v>3</v>
      </c>
      <c r="B27" s="11">
        <v>1984.6149999999998</v>
      </c>
      <c r="P27" t="s">
        <v>77</v>
      </c>
      <c r="Q27" t="s">
        <v>24</v>
      </c>
      <c r="R27" s="5">
        <v>2332.8000000000002</v>
      </c>
      <c r="S27" s="5">
        <v>15</v>
      </c>
      <c r="T27" s="5"/>
      <c r="U27" s="5">
        <f t="shared" ca="1" si="0"/>
        <v>2</v>
      </c>
      <c r="V27" s="5" t="str">
        <f t="shared" ca="1" si="1"/>
        <v>Product32</v>
      </c>
      <c r="W27" s="5" t="str">
        <f t="shared" ca="1" si="2"/>
        <v>No.</v>
      </c>
      <c r="X27" s="5">
        <f t="shared" ca="1" si="3"/>
        <v>2332.8000000000002</v>
      </c>
      <c r="Y27" s="5">
        <f t="shared" ca="1" si="4"/>
        <v>15</v>
      </c>
      <c r="Z27" s="5"/>
      <c r="AA27" s="5"/>
      <c r="AB27" s="5"/>
    </row>
    <row r="28" spans="1:30" x14ac:dyDescent="0.35">
      <c r="A28" s="10">
        <v>22</v>
      </c>
      <c r="B28" s="11">
        <v>746.97399999999993</v>
      </c>
      <c r="P28" t="s">
        <v>79</v>
      </c>
      <c r="Q28" t="s">
        <v>17</v>
      </c>
      <c r="R28" s="5">
        <v>983.7</v>
      </c>
      <c r="S28" s="5">
        <v>9</v>
      </c>
      <c r="T28" s="5"/>
      <c r="U28" s="5">
        <f t="shared" ca="1" si="0"/>
        <v>4</v>
      </c>
      <c r="V28" s="5" t="str">
        <f t="shared" ca="1" si="1"/>
        <v>Product33</v>
      </c>
      <c r="W28" s="5" t="str">
        <f t="shared" ca="1" si="2"/>
        <v>Dozon</v>
      </c>
      <c r="X28" s="5">
        <f t="shared" ca="1" si="3"/>
        <v>983.7</v>
      </c>
      <c r="Y28" s="5">
        <f t="shared" ca="1" si="4"/>
        <v>9</v>
      </c>
      <c r="Z28" s="5"/>
      <c r="AA28" s="5"/>
      <c r="AB28" s="5"/>
    </row>
    <row r="29" spans="1:30" x14ac:dyDescent="0.35">
      <c r="A29" s="10">
        <v>19</v>
      </c>
      <c r="B29" s="11">
        <v>782.41250000000002</v>
      </c>
      <c r="P29" t="s">
        <v>81</v>
      </c>
      <c r="Q29" t="s">
        <v>12</v>
      </c>
      <c r="R29" s="5">
        <v>495.21</v>
      </c>
      <c r="S29" s="5">
        <v>3</v>
      </c>
      <c r="T29" s="5"/>
      <c r="U29" s="5">
        <f t="shared" ca="1" si="0"/>
        <v>7</v>
      </c>
      <c r="V29" s="5" t="str">
        <f t="shared" ca="1" si="1"/>
        <v>Product34</v>
      </c>
      <c r="W29" s="5" t="str">
        <f t="shared" ca="1" si="2"/>
        <v>Lt</v>
      </c>
      <c r="X29" s="5">
        <f t="shared" ca="1" si="3"/>
        <v>495.21</v>
      </c>
      <c r="Y29" s="5">
        <f t="shared" ca="1" si="4"/>
        <v>3</v>
      </c>
      <c r="Z29" s="5"/>
      <c r="AA29" s="5"/>
      <c r="AB29" s="5"/>
    </row>
    <row r="30" spans="1:30" x14ac:dyDescent="0.35">
      <c r="A30" s="10">
        <v>25</v>
      </c>
      <c r="B30" s="11">
        <v>2907.8</v>
      </c>
      <c r="P30" t="s">
        <v>83</v>
      </c>
      <c r="Q30" t="s">
        <v>9</v>
      </c>
      <c r="R30" s="5">
        <v>662.84400000000005</v>
      </c>
      <c r="S30" s="5">
        <v>20</v>
      </c>
      <c r="T30" s="5"/>
      <c r="U30" s="5">
        <f t="shared" ca="1" si="0"/>
        <v>4</v>
      </c>
      <c r="V30" s="5" t="str">
        <f t="shared" ca="1" si="1"/>
        <v>Product35</v>
      </c>
      <c r="W30" s="5" t="str">
        <f t="shared" ca="1" si="2"/>
        <v>Kg</v>
      </c>
      <c r="X30" s="5">
        <f t="shared" ca="1" si="3"/>
        <v>662.84400000000005</v>
      </c>
      <c r="Y30" s="5">
        <f t="shared" ca="1" si="4"/>
        <v>20</v>
      </c>
      <c r="Z30" s="5"/>
      <c r="AA30" s="5"/>
      <c r="AB30" s="5"/>
    </row>
    <row r="31" spans="1:30" x14ac:dyDescent="0.35">
      <c r="A31" s="10">
        <v>13</v>
      </c>
      <c r="B31" s="11">
        <v>930.30649999999991</v>
      </c>
      <c r="P31" t="s">
        <v>85</v>
      </c>
      <c r="Q31" t="s">
        <v>12</v>
      </c>
      <c r="R31" s="5">
        <v>4409.4400000000005</v>
      </c>
      <c r="S31" s="5">
        <v>31</v>
      </c>
      <c r="T31" s="5"/>
      <c r="U31" s="5">
        <f t="shared" ca="1" si="0"/>
        <v>1</v>
      </c>
      <c r="V31" s="5" t="str">
        <f t="shared" ca="1" si="1"/>
        <v>Product36</v>
      </c>
      <c r="W31" s="5" t="str">
        <f t="shared" ca="1" si="2"/>
        <v>Lt</v>
      </c>
      <c r="X31" s="5">
        <f t="shared" ca="1" si="3"/>
        <v>4409.4400000000005</v>
      </c>
      <c r="Y31" s="5">
        <f t="shared" ca="1" si="4"/>
        <v>31</v>
      </c>
      <c r="Z31" s="5"/>
      <c r="AA31" s="5"/>
      <c r="AB31" s="5"/>
    </row>
    <row r="32" spans="1:30" x14ac:dyDescent="0.35">
      <c r="A32" s="10">
        <v>31</v>
      </c>
      <c r="B32" s="11">
        <v>27.58</v>
      </c>
      <c r="P32" t="s">
        <v>87</v>
      </c>
      <c r="Q32" t="s">
        <v>17</v>
      </c>
      <c r="R32" s="5">
        <v>1681.6469999999999</v>
      </c>
      <c r="S32" s="5">
        <v>14</v>
      </c>
      <c r="T32" s="5"/>
      <c r="U32" s="5">
        <f t="shared" ca="1" si="0"/>
        <v>2</v>
      </c>
      <c r="V32" s="5" t="str">
        <f t="shared" ca="1" si="1"/>
        <v>Product37</v>
      </c>
      <c r="W32" s="5" t="str">
        <f t="shared" ca="1" si="2"/>
        <v>Dozon</v>
      </c>
      <c r="X32" s="5">
        <f t="shared" ca="1" si="3"/>
        <v>1681.6469999999999</v>
      </c>
      <c r="Y32" s="5">
        <f t="shared" ca="1" si="4"/>
        <v>14</v>
      </c>
      <c r="Z32" s="5"/>
      <c r="AA32" s="5"/>
      <c r="AB32" s="5"/>
    </row>
    <row r="33" spans="1:28" x14ac:dyDescent="0.35">
      <c r="A33" s="10">
        <v>0</v>
      </c>
      <c r="B33" s="11">
        <v>1020.76</v>
      </c>
      <c r="P33" t="s">
        <v>91</v>
      </c>
      <c r="Q33" t="s">
        <v>24</v>
      </c>
      <c r="R33" s="5">
        <v>166.86999999999998</v>
      </c>
      <c r="S33" s="5">
        <v>20</v>
      </c>
      <c r="T33" s="5"/>
      <c r="U33" s="5">
        <f t="shared" ca="1" si="0"/>
        <v>5</v>
      </c>
      <c r="V33" s="5" t="str">
        <f t="shared" ca="1" si="1"/>
        <v>Product39</v>
      </c>
      <c r="W33" s="5" t="str">
        <f t="shared" ca="1" si="2"/>
        <v>No.</v>
      </c>
      <c r="X33" s="5">
        <f t="shared" ca="1" si="3"/>
        <v>166.86999999999998</v>
      </c>
      <c r="Y33" s="5">
        <f t="shared" ca="1" si="4"/>
        <v>20</v>
      </c>
      <c r="Z33" s="5"/>
      <c r="AA33" s="5"/>
      <c r="AB33" s="5"/>
    </row>
    <row r="34" spans="1:28" x14ac:dyDescent="0.35">
      <c r="P34" t="s">
        <v>95</v>
      </c>
      <c r="Q34" t="s">
        <v>12</v>
      </c>
      <c r="R34" s="5">
        <v>532.55999999999995</v>
      </c>
      <c r="S34" s="5">
        <v>14</v>
      </c>
      <c r="T34" s="5"/>
      <c r="U34" s="5">
        <f t="shared" ca="1" si="0"/>
        <v>3</v>
      </c>
      <c r="V34" s="5" t="str">
        <f t="shared" ca="1" si="1"/>
        <v>Product41</v>
      </c>
      <c r="W34" s="5" t="str">
        <f t="shared" ca="1" si="2"/>
        <v>Lt</v>
      </c>
      <c r="X34" s="5">
        <f t="shared" ca="1" si="3"/>
        <v>532.55999999999995</v>
      </c>
      <c r="Y34" s="5">
        <f t="shared" ca="1" si="4"/>
        <v>14</v>
      </c>
      <c r="Z34" s="5"/>
      <c r="AA34" s="5"/>
      <c r="AB34" s="5"/>
    </row>
    <row r="35" spans="1:28" x14ac:dyDescent="0.35">
      <c r="P35" t="s">
        <v>99</v>
      </c>
      <c r="Q35" t="s">
        <v>12</v>
      </c>
      <c r="R35" s="5">
        <v>2101.44</v>
      </c>
      <c r="S35" s="5">
        <v>12</v>
      </c>
      <c r="T35" s="5"/>
      <c r="U35" s="5">
        <f t="shared" ca="1" si="0"/>
        <v>1</v>
      </c>
      <c r="V35" s="5" t="str">
        <f t="shared" ca="1" si="1"/>
        <v>Product43</v>
      </c>
      <c r="W35" s="5" t="str">
        <f t="shared" ca="1" si="2"/>
        <v>Lt</v>
      </c>
      <c r="X35" s="5">
        <f t="shared" ca="1" si="3"/>
        <v>2101.44</v>
      </c>
      <c r="Y35" s="5">
        <f t="shared" ca="1" si="4"/>
        <v>12</v>
      </c>
      <c r="Z35" s="5"/>
      <c r="AA35" s="5"/>
      <c r="AB35" s="5"/>
    </row>
    <row r="36" spans="1:28" x14ac:dyDescent="0.35">
      <c r="P36" t="s">
        <v>101</v>
      </c>
      <c r="Q36" t="s">
        <v>24</v>
      </c>
      <c r="R36" s="5">
        <v>650.25</v>
      </c>
      <c r="S36" s="5">
        <v>15</v>
      </c>
      <c r="T36" s="5"/>
      <c r="U36" s="5">
        <f t="shared" ca="1" si="0"/>
        <v>1</v>
      </c>
      <c r="V36" s="5" t="str">
        <f t="shared" ca="1" si="1"/>
        <v>Product44</v>
      </c>
      <c r="W36" s="5" t="str">
        <f t="shared" ca="1" si="2"/>
        <v>No.</v>
      </c>
      <c r="X36" s="5">
        <f t="shared" ca="1" si="3"/>
        <v>650.25</v>
      </c>
      <c r="Y36" s="5">
        <f t="shared" ca="1" si="4"/>
        <v>15</v>
      </c>
      <c r="Z36" s="5"/>
      <c r="AA36" s="5"/>
      <c r="AB36" s="5"/>
    </row>
    <row r="37" spans="1:28" x14ac:dyDescent="0.35">
      <c r="P37" t="s">
        <v>103</v>
      </c>
      <c r="Q37" t="s">
        <v>12</v>
      </c>
      <c r="R37" s="5">
        <v>321.59399999999999</v>
      </c>
      <c r="S37" s="5">
        <v>2</v>
      </c>
      <c r="T37" s="5"/>
      <c r="U37" s="5">
        <f t="shared" ca="1" si="0"/>
        <v>1</v>
      </c>
      <c r="V37" s="5" t="str">
        <f t="shared" ca="1" si="1"/>
        <v>Product45</v>
      </c>
      <c r="W37" s="5" t="str">
        <f t="shared" ca="1" si="2"/>
        <v>Lt</v>
      </c>
      <c r="X37" s="5">
        <f t="shared" ca="1" si="3"/>
        <v>321.59399999999999</v>
      </c>
      <c r="Y37" s="5">
        <f t="shared" ca="1" si="4"/>
        <v>2</v>
      </c>
      <c r="Z37" s="5"/>
      <c r="AA37" s="5"/>
      <c r="AB37" s="5"/>
    </row>
    <row r="38" spans="1:28" x14ac:dyDescent="0.35">
      <c r="T38" s="5"/>
      <c r="U38" s="5"/>
      <c r="V38" s="5"/>
      <c r="W38" s="5"/>
      <c r="X38" s="5"/>
      <c r="Y38" s="5"/>
      <c r="Z38" s="5"/>
      <c r="AA38" s="5"/>
      <c r="AB38" s="5"/>
    </row>
    <row r="39" spans="1:28" x14ac:dyDescent="0.35">
      <c r="T39" s="5"/>
      <c r="U39" s="5"/>
      <c r="V39" s="5"/>
      <c r="W39" s="5"/>
      <c r="X39" s="5"/>
      <c r="Y39" s="5"/>
      <c r="Z39" s="5"/>
      <c r="AA39" s="5"/>
      <c r="AB39" s="5"/>
    </row>
    <row r="40" spans="1:28" x14ac:dyDescent="0.35">
      <c r="T40" s="5"/>
      <c r="U40" s="5"/>
      <c r="V40" s="5"/>
      <c r="W40" s="5"/>
      <c r="X40" s="5"/>
      <c r="Y40" s="5"/>
      <c r="Z40" s="5"/>
      <c r="AA40" s="5"/>
      <c r="AB40" s="5"/>
    </row>
    <row r="41" spans="1:28" x14ac:dyDescent="0.35">
      <c r="T41" s="5"/>
      <c r="U41" s="5"/>
      <c r="V41" s="5"/>
      <c r="W41" s="5"/>
      <c r="X41" s="5"/>
      <c r="Y41" s="5"/>
      <c r="Z41" s="5"/>
      <c r="AA41" s="5"/>
      <c r="AB41" s="5"/>
    </row>
    <row r="42" spans="1:28" x14ac:dyDescent="0.35">
      <c r="T42" s="5"/>
      <c r="U42" s="5"/>
      <c r="V42" s="5"/>
      <c r="W42" s="5"/>
      <c r="X42" s="5"/>
      <c r="Y42" s="5"/>
      <c r="Z42" s="5"/>
      <c r="AA42" s="5"/>
      <c r="AB42" s="5"/>
    </row>
    <row r="43" spans="1:28" x14ac:dyDescent="0.35">
      <c r="T43" s="5"/>
      <c r="U43" s="5"/>
      <c r="V43" s="5"/>
      <c r="W43" s="5"/>
      <c r="X43" s="5"/>
      <c r="Y43" s="5"/>
      <c r="Z43" s="5"/>
      <c r="AA43" s="5"/>
      <c r="AB43" s="5"/>
    </row>
    <row r="44" spans="1:28" x14ac:dyDescent="0.35">
      <c r="T44" s="5"/>
      <c r="U44" s="5"/>
      <c r="V44" s="5"/>
      <c r="W44" s="5"/>
      <c r="X44" s="5"/>
      <c r="Y44" s="5"/>
      <c r="Z44" s="5"/>
      <c r="AA44" s="5"/>
      <c r="AB44" s="5"/>
    </row>
    <row r="45" spans="1:28" x14ac:dyDescent="0.35">
      <c r="T45" s="5"/>
      <c r="U45" s="5"/>
      <c r="V45" s="5"/>
      <c r="W45" s="5"/>
      <c r="X45" s="5"/>
      <c r="Y45" s="5"/>
      <c r="Z45" s="5"/>
      <c r="AA45" s="5"/>
      <c r="AB45" s="5"/>
    </row>
    <row r="46" spans="1:28" x14ac:dyDescent="0.35">
      <c r="T46" s="5"/>
      <c r="U46" s="5"/>
      <c r="V46" s="5"/>
      <c r="W46" s="5"/>
      <c r="X46" s="5"/>
      <c r="Y46" s="5"/>
      <c r="Z46" s="5"/>
      <c r="AA46" s="5"/>
      <c r="AB46" s="5"/>
    </row>
    <row r="47" spans="1:28" x14ac:dyDescent="0.35">
      <c r="T47" s="5"/>
      <c r="U47" s="5"/>
      <c r="V47" s="5"/>
      <c r="W47" s="5"/>
      <c r="X47" s="5"/>
      <c r="Y47" s="5"/>
      <c r="Z47" s="5"/>
      <c r="AA47" s="5"/>
      <c r="AB47" s="5"/>
    </row>
    <row r="48" spans="1:28" x14ac:dyDescent="0.35">
      <c r="T48" s="5"/>
      <c r="U48" s="5"/>
      <c r="V48" s="5"/>
      <c r="W48" s="5"/>
      <c r="X48" s="5"/>
      <c r="Y48" s="5"/>
      <c r="Z48" s="5"/>
      <c r="AA48" s="5"/>
      <c r="AB48" s="5"/>
    </row>
    <row r="49" spans="20:28" x14ac:dyDescent="0.35">
      <c r="T49" s="5"/>
      <c r="U49" s="5"/>
      <c r="V49" s="5"/>
      <c r="W49" s="5"/>
      <c r="X49" s="5"/>
      <c r="Y49" s="5"/>
      <c r="Z49" s="5"/>
      <c r="AA49" s="5"/>
      <c r="AB49" s="5"/>
    </row>
    <row r="50" spans="20:28" x14ac:dyDescent="0.35">
      <c r="T50" s="5"/>
      <c r="U50" s="5"/>
      <c r="V50" s="5"/>
      <c r="W50" s="5"/>
      <c r="X50" s="5"/>
      <c r="Y50" s="5"/>
      <c r="Z50" s="5"/>
      <c r="AA50" s="5"/>
      <c r="AB50" s="5"/>
    </row>
    <row r="51" spans="20:28" x14ac:dyDescent="0.35">
      <c r="T51" s="5"/>
      <c r="U51" s="5"/>
      <c r="V51" s="5"/>
      <c r="W51" s="5"/>
      <c r="X51" s="5"/>
      <c r="Y51" s="5"/>
      <c r="Z51" s="5"/>
      <c r="AA51" s="5"/>
      <c r="AB51" s="5"/>
    </row>
    <row r="52" spans="20:28" x14ac:dyDescent="0.35">
      <c r="T52" s="5"/>
      <c r="U52" s="5"/>
      <c r="V52" s="5"/>
      <c r="W52" s="5"/>
      <c r="X52" s="5"/>
      <c r="Y52" s="5"/>
      <c r="Z52" s="5"/>
      <c r="AA52" s="5"/>
      <c r="AB52" s="5"/>
    </row>
    <row r="53" spans="20:28" x14ac:dyDescent="0.35">
      <c r="T53" s="5"/>
      <c r="U53" s="5"/>
      <c r="V53" s="5"/>
      <c r="W53" s="5"/>
      <c r="X53" s="5"/>
      <c r="Y53" s="5"/>
      <c r="Z53" s="5"/>
      <c r="AA53" s="5"/>
      <c r="AB53" s="5"/>
    </row>
    <row r="54" spans="20:28" x14ac:dyDescent="0.35">
      <c r="T54" s="5"/>
      <c r="U54" s="5"/>
      <c r="V54" s="5"/>
      <c r="W54" s="5"/>
      <c r="X54" s="5"/>
      <c r="Y54" s="5"/>
      <c r="Z54" s="5"/>
      <c r="AA54" s="5"/>
      <c r="AB54" s="5"/>
    </row>
    <row r="55" spans="20:28" x14ac:dyDescent="0.35">
      <c r="T55" s="5"/>
      <c r="U55" s="5"/>
      <c r="V55" s="5"/>
      <c r="W55" s="5"/>
      <c r="X55" s="5"/>
      <c r="Y55" s="5"/>
      <c r="Z55" s="5"/>
      <c r="AA55" s="5"/>
      <c r="AB55" s="5"/>
    </row>
    <row r="56" spans="20:28" x14ac:dyDescent="0.35">
      <c r="T56" s="5"/>
      <c r="U56" s="5"/>
      <c r="V56" s="5"/>
      <c r="W56" s="5"/>
      <c r="X56" s="5"/>
      <c r="Y56" s="5"/>
      <c r="Z56" s="5"/>
      <c r="AA56" s="5"/>
      <c r="AB56" s="5"/>
    </row>
    <row r="57" spans="20:28" x14ac:dyDescent="0.35">
      <c r="T57" s="5"/>
      <c r="U57" s="5"/>
      <c r="V57" s="5"/>
      <c r="W57" s="5"/>
      <c r="X57" s="5"/>
      <c r="Y57" s="5"/>
      <c r="Z57" s="5"/>
      <c r="AA57" s="5"/>
      <c r="AB57" s="5"/>
    </row>
    <row r="58" spans="20:28" x14ac:dyDescent="0.35">
      <c r="T58" s="5"/>
      <c r="U58" s="5"/>
      <c r="V58" s="5"/>
      <c r="W58" s="5"/>
      <c r="X58" s="5"/>
      <c r="Y58" s="5"/>
      <c r="Z58" s="5"/>
      <c r="AA58" s="5"/>
      <c r="AB58" s="5"/>
    </row>
    <row r="59" spans="20:28" x14ac:dyDescent="0.35">
      <c r="T59" s="5"/>
      <c r="U59" s="5"/>
      <c r="V59" s="5"/>
      <c r="W59" s="5"/>
      <c r="X59" s="5"/>
      <c r="Y59" s="5"/>
      <c r="Z59" s="5"/>
      <c r="AA59" s="5"/>
      <c r="AB59" s="5"/>
    </row>
    <row r="60" spans="20:28" x14ac:dyDescent="0.35">
      <c r="T60" s="5"/>
      <c r="U60" s="5"/>
      <c r="V60" s="5"/>
      <c r="W60" s="5"/>
      <c r="X60" s="5"/>
      <c r="Y60" s="5"/>
      <c r="Z60" s="5"/>
      <c r="AA60" s="5"/>
      <c r="AB60" s="5"/>
    </row>
    <row r="61" spans="20:28" x14ac:dyDescent="0.35">
      <c r="T61" s="5"/>
      <c r="U61" s="5"/>
      <c r="V61" s="5"/>
      <c r="W61" s="5"/>
      <c r="X61" s="5"/>
      <c r="Y61" s="5"/>
      <c r="Z61" s="5"/>
      <c r="AA61" s="5"/>
      <c r="AB61" s="5"/>
    </row>
    <row r="62" spans="20:28" x14ac:dyDescent="0.35">
      <c r="T62" s="5"/>
      <c r="U62" s="5"/>
      <c r="V62" s="5"/>
      <c r="W62" s="5"/>
      <c r="X62" s="5"/>
      <c r="Y62" s="5"/>
      <c r="Z62" s="5"/>
      <c r="AA62" s="5"/>
      <c r="AB62" s="5"/>
    </row>
    <row r="63" spans="20:28" x14ac:dyDescent="0.35">
      <c r="T63" s="5"/>
      <c r="U63" s="5"/>
      <c r="V63" s="5"/>
      <c r="W63" s="5"/>
      <c r="X63" s="5"/>
      <c r="Y63" s="5"/>
      <c r="Z63" s="5"/>
      <c r="AA63" s="5"/>
      <c r="AB63" s="5"/>
    </row>
    <row r="64" spans="20:28" x14ac:dyDescent="0.35">
      <c r="T64" s="5"/>
      <c r="U64" s="5"/>
      <c r="V64" s="5"/>
      <c r="W64" s="5"/>
      <c r="X64" s="5"/>
      <c r="Y64" s="5"/>
      <c r="Z64" s="5"/>
      <c r="AA64" s="5"/>
      <c r="AB64" s="5"/>
    </row>
    <row r="65" spans="20:28" x14ac:dyDescent="0.35">
      <c r="T65" s="5"/>
      <c r="U65" s="5"/>
      <c r="V65" s="5"/>
      <c r="W65" s="5"/>
      <c r="X65" s="5"/>
      <c r="Y65" s="5"/>
      <c r="Z65" s="5"/>
      <c r="AA65" s="5"/>
      <c r="AB65" s="5"/>
    </row>
    <row r="66" spans="20:28" x14ac:dyDescent="0.35">
      <c r="T66" s="5"/>
      <c r="U66" s="5"/>
      <c r="V66" s="5"/>
      <c r="W66" s="5"/>
      <c r="X66" s="5"/>
      <c r="Y66" s="5"/>
      <c r="Z66" s="5"/>
      <c r="AA66" s="5"/>
      <c r="AB66" s="5"/>
    </row>
    <row r="67" spans="20:28" x14ac:dyDescent="0.35">
      <c r="T67" s="5"/>
      <c r="U67" s="5"/>
      <c r="V67" s="5"/>
      <c r="W67" s="5"/>
      <c r="X67" s="5"/>
      <c r="Y67" s="5"/>
      <c r="Z67" s="5"/>
      <c r="AA67" s="5"/>
      <c r="AB67" s="5"/>
    </row>
    <row r="68" spans="20:28" x14ac:dyDescent="0.35">
      <c r="T68" s="5"/>
      <c r="U68" s="5"/>
      <c r="V68" s="5"/>
      <c r="W68" s="5"/>
      <c r="X68" s="5"/>
      <c r="Y68" s="5"/>
      <c r="Z68" s="5"/>
      <c r="AA68" s="5"/>
      <c r="AB68" s="5"/>
    </row>
    <row r="69" spans="20:28" x14ac:dyDescent="0.35">
      <c r="T69" s="5"/>
      <c r="U69" s="5"/>
      <c r="V69" s="5"/>
      <c r="W69" s="5"/>
      <c r="X69" s="5"/>
      <c r="Y69" s="5"/>
      <c r="Z69" s="5"/>
      <c r="AA69" s="5"/>
      <c r="AB69" s="5"/>
    </row>
    <row r="70" spans="20:28" x14ac:dyDescent="0.35">
      <c r="T70" s="5"/>
      <c r="U70" s="5"/>
      <c r="V70" s="5"/>
      <c r="W70" s="5"/>
      <c r="X70" s="5"/>
      <c r="Y70" s="5"/>
      <c r="Z70" s="5"/>
      <c r="AA70" s="5"/>
      <c r="AB70" s="5"/>
    </row>
    <row r="71" spans="20:28" x14ac:dyDescent="0.35">
      <c r="T71" s="5"/>
      <c r="U71" s="5"/>
      <c r="V71" s="5"/>
      <c r="W71" s="5"/>
      <c r="X71" s="5"/>
      <c r="Y71" s="5"/>
      <c r="Z71" s="5"/>
      <c r="AA71" s="5"/>
      <c r="AB71" s="5"/>
    </row>
    <row r="72" spans="20:28" x14ac:dyDescent="0.35">
      <c r="T72" s="5"/>
      <c r="U72" s="5"/>
      <c r="V72" s="5"/>
      <c r="W72" s="5"/>
      <c r="X72" s="5"/>
      <c r="Y72" s="5"/>
      <c r="Z72" s="5"/>
      <c r="AA72" s="5"/>
      <c r="AB72" s="5"/>
    </row>
    <row r="73" spans="20:28" x14ac:dyDescent="0.35">
      <c r="T73" s="5"/>
      <c r="U73" s="5"/>
      <c r="V73" s="5"/>
      <c r="W73" s="5"/>
      <c r="X73" s="5"/>
      <c r="Y73" s="5"/>
      <c r="Z73" s="5"/>
      <c r="AA73" s="5"/>
      <c r="AB73" s="5"/>
    </row>
  </sheetData>
  <phoneticPr fontId="3" type="noConversion"/>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43CCF-22EE-4A52-B987-F52463A9BDEC}">
  <dimension ref="AA1"/>
  <sheetViews>
    <sheetView tabSelected="1" zoomScale="60" zoomScaleNormal="60" workbookViewId="0">
      <selection activeCell="U27" sqref="U27"/>
    </sheetView>
  </sheetViews>
  <sheetFormatPr defaultRowHeight="14.5" x14ac:dyDescent="0.35"/>
  <sheetData>
    <row r="1" spans="27:27" x14ac:dyDescent="0.35">
      <c r="AA1">
        <v>1</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60" r:id="rId4" name="Check Box 12">
              <controlPr defaultSize="0" autoFill="0" autoLine="0" autoPict="0">
                <anchor moveWithCells="1">
                  <from>
                    <xdr:col>4</xdr:col>
                    <xdr:colOff>596900</xdr:colOff>
                    <xdr:row>13</xdr:row>
                    <xdr:rowOff>38100</xdr:rowOff>
                  </from>
                  <to>
                    <xdr:col>5</xdr:col>
                    <xdr:colOff>374650</xdr:colOff>
                    <xdr:row>14</xdr:row>
                    <xdr:rowOff>76200</xdr:rowOff>
                  </to>
                </anchor>
              </controlPr>
            </control>
          </mc:Choice>
        </mc:AlternateContent>
        <mc:AlternateContent xmlns:mc="http://schemas.openxmlformats.org/markup-compatibility/2006">
          <mc:Choice Requires="x14">
            <control shapeId="2061" r:id="rId5" name="Check Box 13">
              <controlPr defaultSize="0" autoFill="0" autoLine="0" autoPict="0">
                <anchor moveWithCells="1">
                  <from>
                    <xdr:col>5</xdr:col>
                    <xdr:colOff>508000</xdr:colOff>
                    <xdr:row>13</xdr:row>
                    <xdr:rowOff>38100</xdr:rowOff>
                  </from>
                  <to>
                    <xdr:col>6</xdr:col>
                    <xdr:colOff>292100</xdr:colOff>
                    <xdr:row>14</xdr:row>
                    <xdr:rowOff>69850</xdr:rowOff>
                  </to>
                </anchor>
              </controlPr>
            </control>
          </mc:Choice>
        </mc:AlternateContent>
        <mc:AlternateContent xmlns:mc="http://schemas.openxmlformats.org/markup-compatibility/2006">
          <mc:Choice Requires="x14">
            <control shapeId="2062" r:id="rId6" name="Check Box 14">
              <controlPr defaultSize="0" autoFill="0" autoLine="0" autoPict="0">
                <anchor moveWithCells="1">
                  <from>
                    <xdr:col>6</xdr:col>
                    <xdr:colOff>438150</xdr:colOff>
                    <xdr:row>13</xdr:row>
                    <xdr:rowOff>38100</xdr:rowOff>
                  </from>
                  <to>
                    <xdr:col>7</xdr:col>
                    <xdr:colOff>215900</xdr:colOff>
                    <xdr:row>14</xdr:row>
                    <xdr:rowOff>76200</xdr:rowOff>
                  </to>
                </anchor>
              </controlPr>
            </control>
          </mc:Choice>
        </mc:AlternateContent>
        <mc:AlternateContent xmlns:mc="http://schemas.openxmlformats.org/markup-compatibility/2006">
          <mc:Choice Requires="x14">
            <control shapeId="2063" r:id="rId7" name="Scroll Bar 15">
              <controlPr defaultSize="0" autoPict="0">
                <anchor moveWithCells="1">
                  <from>
                    <xdr:col>8</xdr:col>
                    <xdr:colOff>177800</xdr:colOff>
                    <xdr:row>15</xdr:row>
                    <xdr:rowOff>114300</xdr:rowOff>
                  </from>
                  <to>
                    <xdr:col>8</xdr:col>
                    <xdr:colOff>393700</xdr:colOff>
                    <xdr:row>27</xdr:row>
                    <xdr:rowOff>171450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Data</vt:lpstr>
      <vt:lpstr>Input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Afshan Bashir</cp:lastModifiedBy>
  <dcterms:created xsi:type="dcterms:W3CDTF">2026-07-29T06:01:48Z</dcterms:created>
  <dcterms:modified xsi:type="dcterms:W3CDTF">2026-08-07T16:27:38Z</dcterms:modified>
</cp:coreProperties>
</file>